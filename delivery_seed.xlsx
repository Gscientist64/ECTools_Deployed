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Current Stock" sheetId="2" r:id="rId1"/>
    <sheet name="Distributed" sheetId="1" r:id="rId2"/>
    <sheet name="Delivery Notes" sheetId="4" r:id="rId3"/>
    <sheet name="Central Cluster" sheetId="3" r:id="rId4"/>
  </sheets>
  <definedNames>
    <definedName name="_xlnm._FilterDatabase" localSheetId="1" hidden="1">Distributed!$A$3:$BQ$70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<sst xmlns="http://schemas.openxmlformats.org/spreadsheetml/2006/main" count="725" uniqueCount="229">
  <si>
    <t>S/N</t>
  </si>
  <si>
    <t>Tools</t>
  </si>
  <si>
    <t>First Batch M&amp;E Tools received</t>
  </si>
  <si>
    <t>Second Batch M&amp;E Tools received</t>
  </si>
  <si>
    <t>Total Received</t>
  </si>
  <si>
    <t>State Stock Confirmed</t>
  </si>
  <si>
    <t>Comment</t>
  </si>
  <si>
    <t>1</t>
  </si>
  <si>
    <t>National PMTCT Register</t>
  </si>
  <si>
    <t>2</t>
  </si>
  <si>
    <t>Mother Infant Pair card</t>
  </si>
  <si>
    <t>3</t>
  </si>
  <si>
    <t>National PMTCT Child Follow Up Register</t>
  </si>
  <si>
    <t>4</t>
  </si>
  <si>
    <t>National PMTCT MSF</t>
  </si>
  <si>
    <t>5</t>
  </si>
  <si>
    <t>Care/ART Card</t>
  </si>
  <si>
    <t>6</t>
  </si>
  <si>
    <t>PMTCT Monthly Summary Form (Addendum)</t>
  </si>
  <si>
    <t>7</t>
  </si>
  <si>
    <t>Appointment Diary (PMTCT)</t>
  </si>
  <si>
    <t>8</t>
  </si>
  <si>
    <t>National HTS form</t>
  </si>
  <si>
    <t>9</t>
  </si>
  <si>
    <t>HTS Register</t>
  </si>
  <si>
    <t>10</t>
  </si>
  <si>
    <t>Index Contact Testing Form</t>
  </si>
  <si>
    <t>11</t>
  </si>
  <si>
    <t>HTS MSF</t>
  </si>
  <si>
    <t>12</t>
  </si>
  <si>
    <t>Index Testing MSF (Addendum)</t>
  </si>
  <si>
    <t>13</t>
  </si>
  <si>
    <t>Combined Pharmacy Order Form</t>
  </si>
  <si>
    <t>14</t>
  </si>
  <si>
    <t>Pharmacy Daily worksheet</t>
  </si>
  <si>
    <t>15</t>
  </si>
  <si>
    <t>National ART register</t>
  </si>
  <si>
    <t>16</t>
  </si>
  <si>
    <t>Integrated Laboratory Order and Result Form</t>
  </si>
  <si>
    <t>17</t>
  </si>
  <si>
    <t>Client contact revalidation form</t>
  </si>
  <si>
    <t>18</t>
  </si>
  <si>
    <t>Pharmacovigilance register</t>
  </si>
  <si>
    <t>19</t>
  </si>
  <si>
    <t>Facility Care and Support Screening Checklist</t>
  </si>
  <si>
    <t>20</t>
  </si>
  <si>
    <t>Integrated Laboratory Monitoring Register</t>
  </si>
  <si>
    <t>21</t>
  </si>
  <si>
    <t>Enhanced Adherence Counselling form</t>
  </si>
  <si>
    <t>22</t>
  </si>
  <si>
    <t>Enhanced Adherence Counselling monitoring register</t>
  </si>
  <si>
    <t>23</t>
  </si>
  <si>
    <t>HIV tracking register</t>
  </si>
  <si>
    <t>24</t>
  </si>
  <si>
    <t>HIV Care &amp; Treatment Transfer form</t>
  </si>
  <si>
    <t>25</t>
  </si>
  <si>
    <t>National ART MSF</t>
  </si>
  <si>
    <t>26</t>
  </si>
  <si>
    <t>Temperature Charts (Room and Fridge)</t>
  </si>
  <si>
    <t>27</t>
  </si>
  <si>
    <t>PrEP/PEP screening and eligibility form</t>
  </si>
  <si>
    <t>28</t>
  </si>
  <si>
    <t>PrEP/PEP card</t>
  </si>
  <si>
    <t>29</t>
  </si>
  <si>
    <t>PrEP/PEP register</t>
  </si>
  <si>
    <t>30</t>
  </si>
  <si>
    <t>PrEP/PEP MSF</t>
  </si>
  <si>
    <t>31</t>
  </si>
  <si>
    <t>NHMIS ANC Register</t>
  </si>
  <si>
    <t>32</t>
  </si>
  <si>
    <t>NHMIS L&amp;D Register</t>
  </si>
  <si>
    <t>33</t>
  </si>
  <si>
    <t>BIometric Incidence Form</t>
  </si>
  <si>
    <t>Received from AKS SI</t>
  </si>
  <si>
    <t>34</t>
  </si>
  <si>
    <t>VH Client Enrollment &amp; Follow Up Card</t>
  </si>
  <si>
    <t>35</t>
  </si>
  <si>
    <t>VH Laboratory Register</t>
  </si>
  <si>
    <t>36</t>
  </si>
  <si>
    <t>VH Treatment Register</t>
  </si>
  <si>
    <t>37</t>
  </si>
  <si>
    <t>VH MSF</t>
  </si>
  <si>
    <t>38</t>
  </si>
  <si>
    <t>STI Register</t>
  </si>
  <si>
    <t>39</t>
  </si>
  <si>
    <t>STI MSF</t>
  </si>
  <si>
    <t>40</t>
  </si>
  <si>
    <t>Client Referral Form</t>
  </si>
  <si>
    <t>41</t>
  </si>
  <si>
    <t>Referral Register</t>
  </si>
  <si>
    <t>42</t>
  </si>
  <si>
    <t>GBV Service Delivery Form</t>
  </si>
  <si>
    <t>43</t>
  </si>
  <si>
    <t xml:space="preserve">GBV Incidence Form </t>
  </si>
  <si>
    <t>44</t>
  </si>
  <si>
    <t>TB/HIV MSF revised</t>
  </si>
  <si>
    <t>45</t>
  </si>
  <si>
    <t>Informed Consent Form</t>
  </si>
  <si>
    <t>46</t>
  </si>
  <si>
    <t>Biometric Confirmation Slip</t>
  </si>
  <si>
    <t>47</t>
  </si>
  <si>
    <t>Patient Per Regimen</t>
  </si>
  <si>
    <t>48</t>
  </si>
  <si>
    <t>Records for Transferring and Returning Commodities</t>
  </si>
  <si>
    <t>49</t>
  </si>
  <si>
    <t>NAFDAC Pharmacovigilance Form</t>
  </si>
  <si>
    <t>50</t>
  </si>
  <si>
    <t>Post Violence Care MSF</t>
  </si>
  <si>
    <t>51</t>
  </si>
  <si>
    <t>Post Violence Care Register</t>
  </si>
  <si>
    <t>52</t>
  </si>
  <si>
    <t>CRRF Laboratory</t>
  </si>
  <si>
    <t>53</t>
  </si>
  <si>
    <t>CRRF Rapid Test Kit</t>
  </si>
  <si>
    <t>54</t>
  </si>
  <si>
    <t>CRRF ARVs and OIs</t>
  </si>
  <si>
    <t>55</t>
  </si>
  <si>
    <t>Internal Requisition Form</t>
  </si>
  <si>
    <t>56</t>
  </si>
  <si>
    <t>PMTCT Spoke MSF</t>
  </si>
  <si>
    <t>57</t>
  </si>
  <si>
    <t>PMTCT Spoke Register</t>
  </si>
  <si>
    <t>58</t>
  </si>
  <si>
    <t>Monthly Stock Status Tracker</t>
  </si>
  <si>
    <t>59</t>
  </si>
  <si>
    <t>Client Records Verification Form</t>
  </si>
  <si>
    <t>60</t>
  </si>
  <si>
    <t>CMP Register</t>
  </si>
  <si>
    <t>61</t>
  </si>
  <si>
    <t>Site Visit Reporting Form</t>
  </si>
  <si>
    <t>Optimized for online usage</t>
  </si>
  <si>
    <t>62</t>
  </si>
  <si>
    <t>Sample Transfer Form</t>
  </si>
  <si>
    <t>Obsolete tool</t>
  </si>
  <si>
    <t>TOTAL</t>
  </si>
  <si>
    <t>Cluster</t>
  </si>
  <si>
    <t>Facility</t>
  </si>
  <si>
    <t>Tier Type</t>
  </si>
  <si>
    <t>TX_CURR [RADET March 2026_e]</t>
  </si>
  <si>
    <t>Kangaro Stapling pins  (pack size)</t>
  </si>
  <si>
    <t>Masking Tape</t>
  </si>
  <si>
    <t>Stapler H-45</t>
  </si>
  <si>
    <t>NHIMS ANC Register</t>
  </si>
  <si>
    <t>NHIMS L&amp;D Register</t>
  </si>
  <si>
    <t>CRRF ARVs and Ois</t>
  </si>
  <si>
    <t>Southern</t>
  </si>
  <si>
    <t>Akamkpa General Hospital</t>
  </si>
  <si>
    <t>Tier 2 - ESM</t>
  </si>
  <si>
    <t>Akani Esuk Health Centre</t>
  </si>
  <si>
    <t>Tier 3 - Non-ESM</t>
  </si>
  <si>
    <t>Akpabuyo St Joseph Hospital</t>
  </si>
  <si>
    <t xml:space="preserve">Central </t>
  </si>
  <si>
    <t>Akpet Central Cottage Hospital</t>
  </si>
  <si>
    <t>Tier 1 - ESM</t>
  </si>
  <si>
    <t>Anantigha Primary Health Centre</t>
  </si>
  <si>
    <t>Anderson Primary Health Centre</t>
  </si>
  <si>
    <t>Aningeje Primary Health Centre</t>
  </si>
  <si>
    <t>Aya Medical Centre</t>
  </si>
  <si>
    <t>Bakor Medical centre</t>
  </si>
  <si>
    <t>Calabar General Hospital</t>
  </si>
  <si>
    <t>Calabar South Family Health Centre</t>
  </si>
  <si>
    <t>Calabar Women and Children Hospital</t>
  </si>
  <si>
    <t>County Specialist Hospital</t>
  </si>
  <si>
    <t>Cross River University of Science and Technology (CRUTECH) Medical Centre</t>
  </si>
  <si>
    <t>Diamond Hill Health Centre</t>
  </si>
  <si>
    <t>Dr Lawrence Henshaw Memorial Hospital</t>
  </si>
  <si>
    <t>Eja Memorial Hospital</t>
  </si>
  <si>
    <t>Ekana Medical Centre</t>
  </si>
  <si>
    <t>Ekorinim Health Centre</t>
  </si>
  <si>
    <t>Ekpo Abasi Primary Health Centre</t>
  </si>
  <si>
    <t>Ekpri Obutong Health Centre</t>
  </si>
  <si>
    <t>Emmanuel Infirmiry</t>
  </si>
  <si>
    <t>Essierebom Primary Health Centre</t>
  </si>
  <si>
    <t>Faith Foundation Clinic</t>
  </si>
  <si>
    <t>Goldie Clinic</t>
  </si>
  <si>
    <t>Henshaw Town Health Post</t>
  </si>
  <si>
    <t>Hiltop Healthcare Foundation</t>
  </si>
  <si>
    <t>Holy Family Catholic Hospital</t>
  </si>
  <si>
    <t>Igbo-Imabana Model Primary Health Centre</t>
  </si>
  <si>
    <t>Ikang Primary Health Centre</t>
  </si>
  <si>
    <t>Ikot Edem Odo Health Centre</t>
  </si>
  <si>
    <t>Ikot Effiong Otop Comprehensive Health Centre (UCTH Annex)</t>
  </si>
  <si>
    <t>Ikot Ekpo Health Centre (Ward 10)</t>
  </si>
  <si>
    <t>Ikot Enebong Health Post</t>
  </si>
  <si>
    <t>Ishie Health Post</t>
  </si>
  <si>
    <t>Kasuk Health Centre</t>
  </si>
  <si>
    <t>Katchuan Irruan Model PHC</t>
  </si>
  <si>
    <t>Mambo Clinic</t>
  </si>
  <si>
    <t>Melrose Hospital</t>
  </si>
  <si>
    <t>Mfamosing Primary Health Center</t>
  </si>
  <si>
    <t>Mma Efa Health Centre</t>
  </si>
  <si>
    <t>Mount Zion Medical Centre</t>
  </si>
  <si>
    <t>Nyahasang Health Centre</t>
  </si>
  <si>
    <t>Northern</t>
  </si>
  <si>
    <t>Oba Comprehensive Health Centre</t>
  </si>
  <si>
    <t>Oban Health Centre</t>
  </si>
  <si>
    <t>Obanliku General Hospital</t>
  </si>
  <si>
    <t>Obubra General Hospital</t>
  </si>
  <si>
    <t>Obubra Maternal and Child Health Clinic</t>
  </si>
  <si>
    <t>Obudu Clinic</t>
  </si>
  <si>
    <t>Obudu Urban1 Primary Health Centre</t>
  </si>
  <si>
    <t>Ogoja Catholic Maternity Hospital</t>
  </si>
  <si>
    <t>Ogoja General Hospital</t>
  </si>
  <si>
    <t>Ogoja Santa Maria Clinic</t>
  </si>
  <si>
    <t>Okpoma General Hospital</t>
  </si>
  <si>
    <t>Okundi Comprehensive Health Centre</t>
  </si>
  <si>
    <t>Peace medical centre</t>
  </si>
  <si>
    <t>Police Hospital</t>
  </si>
  <si>
    <t>Sacred Heart Catholic Hospital</t>
  </si>
  <si>
    <t>Ugep General Hospital</t>
  </si>
  <si>
    <t>c</t>
  </si>
  <si>
    <t>Ukpem General Hospital</t>
  </si>
  <si>
    <t>University of Calabar Medical Centre</t>
  </si>
  <si>
    <t>University of Calabar Teaching Hospital</t>
  </si>
  <si>
    <t>Wanihem Comprehensive Health Centre</t>
  </si>
  <si>
    <t>Yala Lutheran Hospital</t>
  </si>
  <si>
    <t>Northern EJAF</t>
  </si>
  <si>
    <t>5 Ogoja and Yala drop sites</t>
  </si>
  <si>
    <t>No Tier</t>
  </si>
  <si>
    <t>-</t>
  </si>
  <si>
    <t>Central EJAF</t>
  </si>
  <si>
    <t>5 Obubra and Ikom drop sites</t>
  </si>
  <si>
    <t>State</t>
  </si>
  <si>
    <t>State M&amp;E Tools store</t>
  </si>
  <si>
    <t>ACTUAL STATE STOCK FROM PHYSICAL COUNT</t>
  </si>
  <si>
    <t>Date</t>
  </si>
  <si>
    <t>Tool Name</t>
  </si>
  <si>
    <t>Quantity Requested</t>
  </si>
  <si>
    <t>Quantity Received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</si>
</sst>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_ * #,##0_ ;_ * \-#,##0_ ;_ * &quot;-&quot;??_ ;_ @_ "/>
  </numFmts>
  <fonts count="29">
    <font>
      <sz val="11"/>
      <color theme="1"/>
      <name val="Calibri"/>
      <charset val="134"/>
      <scheme val="minor"/>
    </font>
    <font>
      <b/>
      <sz val="10"/>
      <color rgb="FF0000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name val="Consolas"/>
      <charset val="1"/>
    </font>
    <font>
      <b/>
      <sz val="1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79989013336588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83511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4" borderId="1" xfId="0" applyFill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0" xfId="0" applyFont="1"/>
    <xf numFmtId="0" fontId="5" fillId="0" borderId="1" xfId="0" applyFont="1" applyFill="1" applyBorder="1"/>
    <xf numFmtId="178" fontId="5" fillId="0" borderId="1" xfId="0" applyNumberFormat="1" applyFont="1" applyFill="1" applyBorder="1"/>
    <xf numFmtId="0" fontId="6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7" fillId="0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179" fontId="2" fillId="0" borderId="1" xfId="1" applyNumberFormat="1" applyFont="1" applyFill="1" applyBorder="1" applyAlignment="1">
      <alignment horizontal="center"/>
    </xf>
    <xf numFmtId="179" fontId="2" fillId="0" borderId="1" xfId="1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0" xfId="0" applyFill="1"/>
    <xf numFmtId="0" fontId="0" fillId="6" borderId="3" xfId="0" applyFill="1" applyBorder="1"/>
    <xf numFmtId="0" fontId="0" fillId="6" borderId="0" xfId="0" applyFill="1" applyAlignment="1">
      <alignment horizontal="center"/>
    </xf>
    <xf numFmtId="0" fontId="9" fillId="10" borderId="1" xfId="0" applyFont="1" applyFill="1" applyBorder="1"/>
    <xf numFmtId="0" fontId="9" fillId="10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/>
    <xf numFmtId="0" fontId="3" fillId="3" borderId="1" xfId="0" applyFont="1" applyFill="1" applyBorder="1"/>
    <xf numFmtId="0" fontId="2" fillId="11" borderId="1" xfId="0" applyFont="1" applyFill="1" applyBorder="1"/>
    <xf numFmtId="0" fontId="2" fillId="0" borderId="1" xfId="0" applyFon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83511F"/>
      <color rgb="00D49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F1" sqref="F1"/>
    </sheetView>
  </sheetViews>
  <sheetFormatPr defaultColWidth="9.12380952380952" defaultRowHeight="15" outlineLevelCol="7"/>
  <cols>
    <col min="1" max="1" width="4.37142857142857" customWidth="1"/>
    <col min="2" max="2" width="45.5047619047619" customWidth="1"/>
    <col min="3" max="3" width="9.75238095238095" customWidth="1"/>
    <col min="4" max="4" width="15" customWidth="1"/>
    <col min="5" max="5" width="12.247619047619" customWidth="1"/>
    <col min="6" max="6" width="12.3714285714286" customWidth="1"/>
    <col min="7" max="7" width="24.247619047619" customWidth="1"/>
  </cols>
  <sheetData>
    <row r="1" ht="75" spans="1:8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40" t="s">
        <v>6</v>
      </c>
    </row>
    <row r="2" ht="15.95" customHeight="1" spans="1:8">
      <c r="A2" s="45" t="s">
        <v>7</v>
      </c>
      <c r="B2" s="41" t="s">
        <v>8</v>
      </c>
      <c r="C2" s="9">
        <v>70</v>
      </c>
      <c r="D2" s="9">
        <v>26</v>
      </c>
      <c r="E2" s="9">
        <f>SUM(C2:D2)</f>
        <v>96</v>
      </c>
      <c r="F2" s="12">
        <v>21</v>
      </c>
      <c r="G2" s="9"/>
    </row>
    <row r="3" ht="15.95" customHeight="1" spans="1:8">
      <c r="A3" s="45" t="s">
        <v>9</v>
      </c>
      <c r="B3" s="41" t="s">
        <v>10</v>
      </c>
      <c r="C3" s="9">
        <v>190</v>
      </c>
      <c r="D3" s="9">
        <v>156</v>
      </c>
      <c r="E3" s="9">
        <f t="shared" ref="E3:E59" si="0">SUM(C3:D3)</f>
        <v>346</v>
      </c>
      <c r="F3" s="12">
        <v>206</v>
      </c>
      <c r="G3" s="9"/>
    </row>
    <row r="4" ht="15.95" customHeight="1" spans="1:8">
      <c r="A4" s="45" t="s">
        <v>11</v>
      </c>
      <c r="B4" s="41" t="s">
        <v>12</v>
      </c>
      <c r="C4" s="9">
        <v>65</v>
      </c>
      <c r="D4" s="9">
        <v>48</v>
      </c>
      <c r="E4" s="9">
        <f t="shared" si="0"/>
        <v>113</v>
      </c>
      <c r="F4" s="12">
        <v>50</v>
      </c>
      <c r="G4" s="9"/>
    </row>
    <row r="5" ht="15.95" customHeight="1" spans="1:8">
      <c r="A5" s="45" t="s">
        <v>13</v>
      </c>
      <c r="B5" s="41" t="s">
        <v>14</v>
      </c>
      <c r="C5" s="9">
        <v>140</v>
      </c>
      <c r="D5" s="9">
        <v>27</v>
      </c>
      <c r="E5" s="9">
        <f t="shared" si="0"/>
        <v>167</v>
      </c>
      <c r="F5" s="12">
        <v>96</v>
      </c>
      <c r="G5" s="9"/>
    </row>
    <row r="6" ht="15.95" customHeight="1" spans="1:8">
      <c r="A6" s="45" t="s">
        <v>15</v>
      </c>
      <c r="B6" s="41" t="s">
        <v>16</v>
      </c>
      <c r="C6" s="9">
        <v>40000</v>
      </c>
      <c r="D6" s="9">
        <v>41</v>
      </c>
      <c r="E6" s="9">
        <f t="shared" si="0"/>
        <v>40041</v>
      </c>
      <c r="F6" s="12">
        <v>2497</v>
      </c>
      <c r="G6" s="9"/>
    </row>
    <row r="7" ht="15.95" customHeight="1" spans="1:8">
      <c r="A7" s="45" t="s">
        <v>17</v>
      </c>
      <c r="B7" s="41" t="s">
        <v>18</v>
      </c>
      <c r="C7" s="9">
        <v>65</v>
      </c>
      <c r="D7" s="9">
        <v>0</v>
      </c>
      <c r="E7" s="9">
        <f t="shared" si="0"/>
        <v>65</v>
      </c>
      <c r="F7" s="12">
        <v>2</v>
      </c>
      <c r="G7" s="9"/>
    </row>
    <row r="8" ht="15.95" customHeight="1" spans="1:8">
      <c r="A8" s="45" t="s">
        <v>19</v>
      </c>
      <c r="B8" s="41" t="s">
        <v>20</v>
      </c>
      <c r="C8" s="9">
        <v>20</v>
      </c>
      <c r="D8" s="9">
        <v>0</v>
      </c>
      <c r="E8" s="9">
        <f t="shared" si="0"/>
        <v>20</v>
      </c>
      <c r="F8" s="12">
        <v>0</v>
      </c>
      <c r="G8" s="9"/>
    </row>
    <row r="9" ht="15.95" customHeight="1" spans="1:8">
      <c r="A9" s="45" t="s">
        <v>21</v>
      </c>
      <c r="B9" s="41" t="s">
        <v>22</v>
      </c>
      <c r="C9" s="9">
        <v>470</v>
      </c>
      <c r="D9" s="9">
        <v>171</v>
      </c>
      <c r="E9" s="9">
        <f t="shared" si="0"/>
        <v>641</v>
      </c>
      <c r="F9" s="12">
        <v>182</v>
      </c>
      <c r="G9" s="9">
        <v>182</v>
      </c>
    </row>
    <row r="10" ht="15.95" customHeight="1" spans="1:8">
      <c r="A10" s="45" t="s">
        <v>23</v>
      </c>
      <c r="B10" s="41" t="s">
        <v>24</v>
      </c>
      <c r="C10" s="9">
        <v>157</v>
      </c>
      <c r="D10" s="9">
        <v>198</v>
      </c>
      <c r="E10" s="9">
        <f t="shared" si="0"/>
        <v>355</v>
      </c>
      <c r="F10" s="12">
        <v>187</v>
      </c>
      <c r="G10" s="9">
        <v>187</v>
      </c>
      <c r="H10">
        <f>355-146</f>
        <v>209</v>
      </c>
    </row>
    <row r="11" ht="15.95" customHeight="1" spans="1:8">
      <c r="A11" s="45" t="s">
        <v>25</v>
      </c>
      <c r="B11" s="41" t="s">
        <v>26</v>
      </c>
      <c r="C11" s="9">
        <v>450</v>
      </c>
      <c r="D11" s="9">
        <v>237</v>
      </c>
      <c r="E11" s="9">
        <f t="shared" si="0"/>
        <v>687</v>
      </c>
      <c r="F11" s="12">
        <v>180</v>
      </c>
      <c r="G11" s="9"/>
    </row>
    <row r="12" ht="15.95" customHeight="1" spans="1:8">
      <c r="A12" s="45" t="s">
        <v>27</v>
      </c>
      <c r="B12" s="41" t="s">
        <v>28</v>
      </c>
      <c r="C12" s="9">
        <v>71</v>
      </c>
      <c r="D12" s="9">
        <v>27</v>
      </c>
      <c r="E12" s="9">
        <f t="shared" si="0"/>
        <v>98</v>
      </c>
      <c r="F12" s="12">
        <v>24</v>
      </c>
      <c r="G12" s="9"/>
    </row>
    <row r="13" ht="15.95" customHeight="1" spans="1:8">
      <c r="A13" s="45" t="s">
        <v>29</v>
      </c>
      <c r="B13" s="41" t="s">
        <v>30</v>
      </c>
      <c r="C13" s="9">
        <v>65</v>
      </c>
      <c r="D13" s="9">
        <v>0</v>
      </c>
      <c r="E13" s="9">
        <f t="shared" si="0"/>
        <v>65</v>
      </c>
      <c r="F13" s="12">
        <v>2</v>
      </c>
      <c r="G13" s="9"/>
    </row>
    <row r="14" ht="15.95" customHeight="1" spans="1:8">
      <c r="A14" s="45" t="s">
        <v>31</v>
      </c>
      <c r="B14" s="41" t="s">
        <v>32</v>
      </c>
      <c r="C14" s="9">
        <v>1600</v>
      </c>
      <c r="D14" s="9">
        <v>28</v>
      </c>
      <c r="E14" s="9">
        <f t="shared" si="0"/>
        <v>1628</v>
      </c>
      <c r="F14" s="12">
        <v>1023</v>
      </c>
      <c r="G14" s="9">
        <v>1023</v>
      </c>
    </row>
    <row r="15" ht="15.95" customHeight="1" spans="1:8">
      <c r="A15" s="45" t="s">
        <v>33</v>
      </c>
      <c r="B15" s="41" t="s">
        <v>34</v>
      </c>
      <c r="C15" s="9">
        <v>260</v>
      </c>
      <c r="D15" s="9">
        <v>31</v>
      </c>
      <c r="E15" s="9">
        <f t="shared" si="0"/>
        <v>291</v>
      </c>
      <c r="F15" s="12">
        <v>62</v>
      </c>
      <c r="G15" s="9"/>
    </row>
    <row r="16" ht="15.95" customHeight="1" spans="1:8">
      <c r="A16" s="45" t="s">
        <v>35</v>
      </c>
      <c r="B16" s="41" t="s">
        <v>36</v>
      </c>
      <c r="C16" s="9">
        <v>65</v>
      </c>
      <c r="D16" s="9">
        <v>29</v>
      </c>
      <c r="E16" s="9">
        <f t="shared" si="0"/>
        <v>94</v>
      </c>
      <c r="F16" s="12">
        <v>27</v>
      </c>
      <c r="G16" s="9"/>
    </row>
    <row r="17" ht="15.95" customHeight="1" spans="1:7">
      <c r="A17" s="45" t="s">
        <v>37</v>
      </c>
      <c r="B17" s="41" t="s">
        <v>38</v>
      </c>
      <c r="C17" s="9">
        <v>400</v>
      </c>
      <c r="D17" s="9">
        <v>277</v>
      </c>
      <c r="E17" s="9">
        <f t="shared" si="0"/>
        <v>677</v>
      </c>
      <c r="F17" s="12">
        <v>307</v>
      </c>
      <c r="G17" s="9"/>
    </row>
    <row r="18" ht="15.95" customHeight="1" spans="1:7">
      <c r="A18" s="45" t="s">
        <v>39</v>
      </c>
      <c r="B18" s="41" t="s">
        <v>40</v>
      </c>
      <c r="C18" s="9">
        <v>8000</v>
      </c>
      <c r="D18" s="9">
        <v>0</v>
      </c>
      <c r="E18" s="9">
        <f t="shared" si="0"/>
        <v>8000</v>
      </c>
      <c r="F18" s="12">
        <v>5470</v>
      </c>
      <c r="G18" s="9"/>
    </row>
    <row r="19" ht="15.95" customHeight="1" spans="1:7">
      <c r="A19" s="45" t="s">
        <v>41</v>
      </c>
      <c r="B19" s="41" t="s">
        <v>42</v>
      </c>
      <c r="C19" s="9">
        <v>64</v>
      </c>
      <c r="D19" s="9">
        <v>0</v>
      </c>
      <c r="E19" s="9">
        <f t="shared" si="0"/>
        <v>64</v>
      </c>
      <c r="F19" s="12">
        <v>1</v>
      </c>
      <c r="G19" s="9"/>
    </row>
    <row r="20" ht="15.95" customHeight="1" spans="1:7">
      <c r="A20" s="45" t="s">
        <v>43</v>
      </c>
      <c r="B20" s="41" t="s">
        <v>44</v>
      </c>
      <c r="C20" s="9">
        <v>495</v>
      </c>
      <c r="D20" s="9">
        <v>0</v>
      </c>
      <c r="E20" s="9">
        <f t="shared" si="0"/>
        <v>495</v>
      </c>
      <c r="F20" s="12">
        <v>289</v>
      </c>
      <c r="G20" s="9"/>
    </row>
    <row r="21" ht="15.95" customHeight="1" spans="1:7">
      <c r="A21" s="45" t="s">
        <v>45</v>
      </c>
      <c r="B21" s="41" t="s">
        <v>46</v>
      </c>
      <c r="C21" s="9">
        <v>65</v>
      </c>
      <c r="D21" s="9">
        <v>28</v>
      </c>
      <c r="E21" s="9">
        <f t="shared" si="0"/>
        <v>93</v>
      </c>
      <c r="F21" s="12">
        <v>1</v>
      </c>
      <c r="G21" s="9"/>
    </row>
    <row r="22" ht="15.95" customHeight="1" spans="1:7">
      <c r="A22" s="45" t="s">
        <v>47</v>
      </c>
      <c r="B22" s="41" t="s">
        <v>48</v>
      </c>
      <c r="C22" s="9">
        <v>65</v>
      </c>
      <c r="D22" s="9">
        <v>30</v>
      </c>
      <c r="E22" s="9">
        <f t="shared" si="0"/>
        <v>95</v>
      </c>
      <c r="F22" s="12">
        <v>41</v>
      </c>
      <c r="G22" s="9"/>
    </row>
    <row r="23" ht="15.95" customHeight="1" spans="1:7">
      <c r="A23" s="45" t="s">
        <v>49</v>
      </c>
      <c r="B23" s="41" t="s">
        <v>50</v>
      </c>
      <c r="C23" s="9">
        <v>64</v>
      </c>
      <c r="D23" s="9">
        <v>48</v>
      </c>
      <c r="E23" s="9">
        <f t="shared" si="0"/>
        <v>112</v>
      </c>
      <c r="F23" s="12">
        <v>46</v>
      </c>
      <c r="G23" s="9"/>
    </row>
    <row r="24" ht="15.95" customHeight="1" spans="1:7">
      <c r="A24" s="45" t="s">
        <v>51</v>
      </c>
      <c r="B24" s="41" t="s">
        <v>52</v>
      </c>
      <c r="C24" s="9">
        <v>65</v>
      </c>
      <c r="D24" s="9">
        <v>48</v>
      </c>
      <c r="E24" s="9">
        <f t="shared" si="0"/>
        <v>113</v>
      </c>
      <c r="F24" s="12">
        <v>44</v>
      </c>
      <c r="G24" s="9"/>
    </row>
    <row r="25" ht="15.95" customHeight="1" spans="1:7">
      <c r="A25" s="45" t="s">
        <v>53</v>
      </c>
      <c r="B25" s="41" t="s">
        <v>54</v>
      </c>
      <c r="C25" s="9">
        <v>65</v>
      </c>
      <c r="D25" s="9">
        <v>29</v>
      </c>
      <c r="E25" s="9">
        <f t="shared" si="0"/>
        <v>94</v>
      </c>
      <c r="F25" s="12">
        <v>27</v>
      </c>
      <c r="G25" s="9"/>
    </row>
    <row r="26" ht="15.95" customHeight="1" spans="1:7">
      <c r="A26" s="45" t="s">
        <v>55</v>
      </c>
      <c r="B26" s="41" t="s">
        <v>56</v>
      </c>
      <c r="C26" s="9">
        <v>65</v>
      </c>
      <c r="D26" s="9">
        <v>25</v>
      </c>
      <c r="E26" s="9">
        <f t="shared" si="0"/>
        <v>90</v>
      </c>
      <c r="F26" s="12">
        <v>24</v>
      </c>
      <c r="G26" s="9"/>
    </row>
    <row r="27" ht="15.95" customHeight="1" spans="1:7">
      <c r="A27" s="45" t="s">
        <v>57</v>
      </c>
      <c r="B27" s="41" t="s">
        <v>58</v>
      </c>
      <c r="C27" s="9">
        <v>1200</v>
      </c>
      <c r="D27" s="9">
        <v>0</v>
      </c>
      <c r="E27" s="9">
        <f t="shared" si="0"/>
        <v>1200</v>
      </c>
      <c r="F27" s="12">
        <v>694</v>
      </c>
      <c r="G27" s="9"/>
    </row>
    <row r="28" ht="15.95" customHeight="1" spans="1:7">
      <c r="A28" s="45" t="s">
        <v>59</v>
      </c>
      <c r="B28" s="41" t="s">
        <v>60</v>
      </c>
      <c r="C28" s="9">
        <v>65</v>
      </c>
      <c r="D28" s="9">
        <v>34</v>
      </c>
      <c r="E28" s="9">
        <f t="shared" si="0"/>
        <v>99</v>
      </c>
      <c r="F28" s="12">
        <v>44</v>
      </c>
      <c r="G28" s="9"/>
    </row>
    <row r="29" ht="15.95" customHeight="1" spans="1:7">
      <c r="A29" s="45" t="s">
        <v>61</v>
      </c>
      <c r="B29" s="41" t="s">
        <v>62</v>
      </c>
      <c r="C29" s="9">
        <v>800</v>
      </c>
      <c r="D29" s="9">
        <v>29</v>
      </c>
      <c r="E29" s="9">
        <f t="shared" si="0"/>
        <v>829</v>
      </c>
      <c r="F29" s="12">
        <v>426</v>
      </c>
      <c r="G29" s="9"/>
    </row>
    <row r="30" ht="15.95" customHeight="1" spans="1:7">
      <c r="A30" s="45" t="s">
        <v>63</v>
      </c>
      <c r="B30" s="41" t="s">
        <v>64</v>
      </c>
      <c r="C30" s="9">
        <v>65</v>
      </c>
      <c r="D30" s="9">
        <v>38</v>
      </c>
      <c r="E30" s="9">
        <f t="shared" si="0"/>
        <v>103</v>
      </c>
      <c r="F30" s="12">
        <v>37</v>
      </c>
      <c r="G30" s="9"/>
    </row>
    <row r="31" ht="15.95" customHeight="1" spans="1:7">
      <c r="A31" s="45" t="s">
        <v>65</v>
      </c>
      <c r="B31" s="41" t="s">
        <v>66</v>
      </c>
      <c r="C31" s="9">
        <v>65</v>
      </c>
      <c r="D31" s="9">
        <v>27</v>
      </c>
      <c r="E31" s="9">
        <f t="shared" si="0"/>
        <v>92</v>
      </c>
      <c r="F31" s="12">
        <v>24</v>
      </c>
      <c r="G31" s="9"/>
    </row>
    <row r="32" ht="15.95" customHeight="1" spans="1:7">
      <c r="A32" s="45" t="s">
        <v>67</v>
      </c>
      <c r="B32" s="40" t="s">
        <v>68</v>
      </c>
      <c r="C32" s="9">
        <v>0</v>
      </c>
      <c r="D32" s="9">
        <v>0</v>
      </c>
      <c r="E32" s="9">
        <f t="shared" si="0"/>
        <v>0</v>
      </c>
      <c r="F32" s="12">
        <v>46</v>
      </c>
      <c r="G32" s="9"/>
    </row>
    <row r="33" ht="15.95" customHeight="1" spans="1:7">
      <c r="A33" s="45" t="s">
        <v>69</v>
      </c>
      <c r="B33" s="40" t="s">
        <v>70</v>
      </c>
      <c r="C33" s="9">
        <v>0</v>
      </c>
      <c r="D33" s="9">
        <v>0</v>
      </c>
      <c r="E33" s="9">
        <f t="shared" si="0"/>
        <v>0</v>
      </c>
      <c r="F33" s="12">
        <v>41</v>
      </c>
      <c r="G33" s="9"/>
    </row>
    <row r="34" ht="15.95" customHeight="1" spans="1:7">
      <c r="A34" s="45" t="s">
        <v>71</v>
      </c>
      <c r="B34" s="42" t="s">
        <v>72</v>
      </c>
      <c r="C34" s="9">
        <v>0</v>
      </c>
      <c r="D34" s="9">
        <v>12</v>
      </c>
      <c r="E34" s="9">
        <f t="shared" si="0"/>
        <v>12</v>
      </c>
      <c r="F34" s="12">
        <v>11</v>
      </c>
      <c r="G34" s="9" t="s">
        <v>73</v>
      </c>
    </row>
    <row r="35" ht="15.95" customHeight="1" spans="1:7">
      <c r="A35" s="45" t="s">
        <v>74</v>
      </c>
      <c r="B35" s="42" t="s">
        <v>75</v>
      </c>
      <c r="C35" s="9">
        <v>0</v>
      </c>
      <c r="D35" s="9">
        <v>40</v>
      </c>
      <c r="E35" s="9">
        <f t="shared" si="0"/>
        <v>40</v>
      </c>
      <c r="F35" s="12">
        <v>36</v>
      </c>
      <c r="G35" s="9"/>
    </row>
    <row r="36" ht="15.95" customHeight="1" spans="1:7">
      <c r="A36" s="45" t="s">
        <v>76</v>
      </c>
      <c r="B36" s="42" t="s">
        <v>77</v>
      </c>
      <c r="C36" s="9">
        <v>0</v>
      </c>
      <c r="D36" s="9">
        <v>48</v>
      </c>
      <c r="E36" s="9">
        <f t="shared" si="0"/>
        <v>48</v>
      </c>
      <c r="F36" s="12">
        <v>43</v>
      </c>
      <c r="G36" s="9"/>
    </row>
    <row r="37" ht="15.95" customHeight="1" spans="1:7">
      <c r="A37" s="45" t="s">
        <v>78</v>
      </c>
      <c r="B37" s="43" t="s">
        <v>79</v>
      </c>
      <c r="C37" s="9">
        <v>0</v>
      </c>
      <c r="D37" s="9">
        <v>0</v>
      </c>
      <c r="E37" s="9">
        <f t="shared" si="0"/>
        <v>0</v>
      </c>
      <c r="F37" s="12">
        <v>0</v>
      </c>
      <c r="G37" s="9"/>
    </row>
    <row r="38" ht="15.95" customHeight="1" spans="1:7">
      <c r="A38" s="45" t="s">
        <v>80</v>
      </c>
      <c r="B38" s="42" t="s">
        <v>81</v>
      </c>
      <c r="C38" s="9">
        <v>0</v>
      </c>
      <c r="D38" s="9">
        <v>27</v>
      </c>
      <c r="E38" s="9">
        <f t="shared" si="0"/>
        <v>27</v>
      </c>
      <c r="F38" s="12">
        <v>24</v>
      </c>
      <c r="G38" s="9"/>
    </row>
    <row r="39" ht="15.95" customHeight="1" spans="1:7">
      <c r="A39" s="45" t="s">
        <v>82</v>
      </c>
      <c r="B39" s="42" t="s">
        <v>83</v>
      </c>
      <c r="C39" s="9">
        <v>0</v>
      </c>
      <c r="D39" s="9">
        <v>33</v>
      </c>
      <c r="E39" s="9">
        <f t="shared" si="0"/>
        <v>33</v>
      </c>
      <c r="F39" s="12">
        <v>29</v>
      </c>
      <c r="G39" s="9"/>
    </row>
    <row r="40" ht="15.95" customHeight="1" spans="1:7">
      <c r="A40" s="45" t="s">
        <v>84</v>
      </c>
      <c r="B40" s="42" t="s">
        <v>85</v>
      </c>
      <c r="C40" s="9">
        <v>0</v>
      </c>
      <c r="D40" s="9">
        <v>21</v>
      </c>
      <c r="E40" s="9">
        <f t="shared" si="0"/>
        <v>21</v>
      </c>
      <c r="F40" s="12">
        <v>19</v>
      </c>
      <c r="G40" s="9"/>
    </row>
    <row r="41" ht="15.95" customHeight="1" spans="1:7">
      <c r="A41" s="45" t="s">
        <v>86</v>
      </c>
      <c r="B41" s="42" t="s">
        <v>87</v>
      </c>
      <c r="C41" s="9">
        <v>0</v>
      </c>
      <c r="D41" s="9">
        <v>0</v>
      </c>
      <c r="E41" s="9">
        <f t="shared" si="0"/>
        <v>0</v>
      </c>
      <c r="F41" s="12">
        <v>14</v>
      </c>
      <c r="G41" s="9"/>
    </row>
    <row r="42" ht="15.95" customHeight="1" spans="1:7">
      <c r="A42" s="45" t="s">
        <v>88</v>
      </c>
      <c r="B42" s="42" t="s">
        <v>89</v>
      </c>
      <c r="C42" s="9">
        <v>0</v>
      </c>
      <c r="D42" s="9">
        <v>0</v>
      </c>
      <c r="E42" s="9">
        <f t="shared" si="0"/>
        <v>0</v>
      </c>
      <c r="F42" s="12">
        <v>49</v>
      </c>
      <c r="G42" s="9"/>
    </row>
    <row r="43" ht="15.95" customHeight="1" spans="1:7">
      <c r="A43" s="45" t="s">
        <v>90</v>
      </c>
      <c r="B43" s="42" t="s">
        <v>91</v>
      </c>
      <c r="C43" s="9">
        <v>0</v>
      </c>
      <c r="D43" s="9">
        <v>0</v>
      </c>
      <c r="E43" s="9">
        <f t="shared" si="0"/>
        <v>0</v>
      </c>
      <c r="F43" s="12">
        <v>2</v>
      </c>
      <c r="G43" s="9"/>
    </row>
    <row r="44" ht="15.95" customHeight="1" spans="1:7">
      <c r="A44" s="45" t="s">
        <v>92</v>
      </c>
      <c r="B44" s="42" t="s">
        <v>93</v>
      </c>
      <c r="C44" s="9">
        <v>0</v>
      </c>
      <c r="D44" s="9">
        <v>0</v>
      </c>
      <c r="E44" s="9">
        <f t="shared" si="0"/>
        <v>0</v>
      </c>
      <c r="F44" s="12">
        <v>14</v>
      </c>
      <c r="G44" s="9"/>
    </row>
    <row r="45" ht="15.95" customHeight="1" spans="1:7">
      <c r="A45" s="45" t="s">
        <v>94</v>
      </c>
      <c r="B45" s="42" t="s">
        <v>95</v>
      </c>
      <c r="C45" s="9">
        <v>0</v>
      </c>
      <c r="D45" s="9">
        <v>0</v>
      </c>
      <c r="E45" s="9">
        <f t="shared" si="0"/>
        <v>0</v>
      </c>
      <c r="F45" s="12">
        <v>4</v>
      </c>
      <c r="G45" s="9"/>
    </row>
    <row r="46" ht="15.95" customHeight="1" spans="1:7">
      <c r="A46" s="45" t="s">
        <v>96</v>
      </c>
      <c r="B46" s="42" t="s">
        <v>97</v>
      </c>
      <c r="C46" s="9">
        <v>0</v>
      </c>
      <c r="D46" s="9">
        <v>0</v>
      </c>
      <c r="E46" s="9">
        <f t="shared" si="0"/>
        <v>0</v>
      </c>
      <c r="F46" s="12">
        <v>6</v>
      </c>
      <c r="G46" s="9"/>
    </row>
    <row r="47" ht="15.95" customHeight="1" spans="1:7">
      <c r="A47" s="45" t="s">
        <v>98</v>
      </c>
      <c r="B47" s="42" t="s">
        <v>99</v>
      </c>
      <c r="C47" s="9">
        <v>0</v>
      </c>
      <c r="D47" s="9">
        <v>0</v>
      </c>
      <c r="E47" s="9">
        <f t="shared" si="0"/>
        <v>0</v>
      </c>
      <c r="F47" s="12">
        <v>14</v>
      </c>
      <c r="G47" s="9"/>
    </row>
    <row r="48" ht="15.95" customHeight="1" spans="1:7">
      <c r="A48" s="45" t="s">
        <v>100</v>
      </c>
      <c r="B48" s="42" t="s">
        <v>101</v>
      </c>
      <c r="C48" s="9">
        <v>0</v>
      </c>
      <c r="D48" s="9">
        <v>0</v>
      </c>
      <c r="E48" s="9">
        <f t="shared" si="0"/>
        <v>0</v>
      </c>
      <c r="F48" s="12">
        <v>6</v>
      </c>
      <c r="G48" s="9"/>
    </row>
    <row r="49" ht="15.95" customHeight="1" spans="1:7">
      <c r="A49" s="45" t="s">
        <v>102</v>
      </c>
      <c r="B49" s="42" t="s">
        <v>103</v>
      </c>
      <c r="C49" s="9">
        <v>0</v>
      </c>
      <c r="D49" s="9">
        <v>0</v>
      </c>
      <c r="E49" s="9">
        <f t="shared" si="0"/>
        <v>0</v>
      </c>
      <c r="F49" s="12">
        <v>148</v>
      </c>
      <c r="G49" s="9"/>
    </row>
    <row r="50" ht="15.95" customHeight="1" spans="1:7">
      <c r="A50" s="45" t="s">
        <v>104</v>
      </c>
      <c r="B50" s="42" t="s">
        <v>105</v>
      </c>
      <c r="C50" s="9">
        <v>0</v>
      </c>
      <c r="D50" s="9">
        <v>0</v>
      </c>
      <c r="E50" s="9">
        <f t="shared" si="0"/>
        <v>0</v>
      </c>
      <c r="F50" s="12">
        <v>45</v>
      </c>
      <c r="G50" s="9"/>
    </row>
    <row r="51" ht="15.95" customHeight="1" spans="1:7">
      <c r="A51" s="45" t="s">
        <v>106</v>
      </c>
      <c r="B51" s="42" t="s">
        <v>107</v>
      </c>
      <c r="C51" s="9">
        <v>0</v>
      </c>
      <c r="D51" s="9">
        <v>0</v>
      </c>
      <c r="E51" s="9">
        <f t="shared" si="0"/>
        <v>0</v>
      </c>
      <c r="F51" s="12">
        <v>27</v>
      </c>
      <c r="G51" s="9"/>
    </row>
    <row r="52" ht="15.95" customHeight="1" spans="1:7">
      <c r="A52" s="45" t="s">
        <v>108</v>
      </c>
      <c r="B52" s="42" t="s">
        <v>109</v>
      </c>
      <c r="C52" s="9">
        <v>0</v>
      </c>
      <c r="D52" s="9">
        <v>0</v>
      </c>
      <c r="E52" s="9">
        <f t="shared" si="0"/>
        <v>0</v>
      </c>
      <c r="F52" s="12">
        <v>11</v>
      </c>
      <c r="G52" s="9"/>
    </row>
    <row r="53" ht="15.95" customHeight="1" spans="1:7">
      <c r="A53" s="45" t="s">
        <v>110</v>
      </c>
      <c r="B53" s="42" t="s">
        <v>111</v>
      </c>
      <c r="C53" s="9">
        <v>0</v>
      </c>
      <c r="D53" s="9">
        <v>0</v>
      </c>
      <c r="E53" s="9">
        <f t="shared" si="0"/>
        <v>0</v>
      </c>
      <c r="F53" s="12">
        <v>52</v>
      </c>
      <c r="G53" s="9"/>
    </row>
    <row r="54" ht="15.95" customHeight="1" spans="1:7">
      <c r="A54" s="45" t="s">
        <v>112</v>
      </c>
      <c r="B54" s="42" t="s">
        <v>113</v>
      </c>
      <c r="C54" s="9">
        <v>0</v>
      </c>
      <c r="D54" s="9">
        <v>0</v>
      </c>
      <c r="E54" s="9">
        <f t="shared" si="0"/>
        <v>0</v>
      </c>
      <c r="F54" s="12">
        <v>35</v>
      </c>
      <c r="G54" s="9"/>
    </row>
    <row r="55" ht="15.95" customHeight="1" spans="1:7">
      <c r="A55" s="45" t="s">
        <v>114</v>
      </c>
      <c r="B55" s="42" t="s">
        <v>115</v>
      </c>
      <c r="C55" s="9">
        <v>0</v>
      </c>
      <c r="D55" s="9">
        <v>0</v>
      </c>
      <c r="E55" s="9">
        <f t="shared" si="0"/>
        <v>0</v>
      </c>
      <c r="F55" s="12">
        <v>83</v>
      </c>
      <c r="G55" s="9"/>
    </row>
    <row r="56" ht="15.95" customHeight="1" spans="1:7">
      <c r="A56" s="45" t="s">
        <v>116</v>
      </c>
      <c r="B56" s="42" t="s">
        <v>117</v>
      </c>
      <c r="C56" s="9">
        <v>0</v>
      </c>
      <c r="D56" s="9">
        <v>0</v>
      </c>
      <c r="E56" s="9">
        <f t="shared" si="0"/>
        <v>0</v>
      </c>
      <c r="F56" s="12">
        <v>89</v>
      </c>
      <c r="G56" s="9"/>
    </row>
    <row r="57" ht="15.95" customHeight="1" spans="1:7">
      <c r="A57" s="45" t="s">
        <v>118</v>
      </c>
      <c r="B57" s="42" t="s">
        <v>119</v>
      </c>
      <c r="C57" s="9">
        <v>0</v>
      </c>
      <c r="D57" s="9">
        <v>0</v>
      </c>
      <c r="E57" s="9">
        <f t="shared" si="0"/>
        <v>0</v>
      </c>
      <c r="F57" s="12">
        <v>80</v>
      </c>
      <c r="G57" s="9"/>
    </row>
    <row r="58" ht="15.95" customHeight="1" spans="1:7">
      <c r="A58" s="45" t="s">
        <v>120</v>
      </c>
      <c r="B58" s="42" t="s">
        <v>121</v>
      </c>
      <c r="C58" s="9">
        <v>0</v>
      </c>
      <c r="D58" s="9">
        <v>0</v>
      </c>
      <c r="E58" s="9">
        <f t="shared" si="0"/>
        <v>0</v>
      </c>
      <c r="F58" s="12">
        <v>49</v>
      </c>
      <c r="G58" s="9"/>
    </row>
    <row r="59" ht="15.95" customHeight="1" spans="1:7">
      <c r="A59" s="45" t="s">
        <v>122</v>
      </c>
      <c r="B59" s="42" t="s">
        <v>123</v>
      </c>
      <c r="C59" s="9">
        <v>0</v>
      </c>
      <c r="D59" s="9">
        <v>0</v>
      </c>
      <c r="E59" s="9">
        <f t="shared" si="0"/>
        <v>0</v>
      </c>
      <c r="F59" s="12">
        <v>93</v>
      </c>
      <c r="G59" s="9"/>
    </row>
    <row r="60" ht="15.95" customHeight="1" spans="1:7">
      <c r="A60" s="45" t="s">
        <v>124</v>
      </c>
      <c r="B60" s="42" t="s">
        <v>125</v>
      </c>
      <c r="C60" s="9">
        <v>0</v>
      </c>
      <c r="D60" s="9">
        <v>421</v>
      </c>
      <c r="E60" s="9">
        <v>421</v>
      </c>
      <c r="F60" s="12">
        <v>421</v>
      </c>
      <c r="G60" s="9"/>
    </row>
    <row r="61" ht="15.95" customHeight="1" spans="1:7">
      <c r="A61" s="45" t="s">
        <v>126</v>
      </c>
      <c r="B61" s="42" t="s">
        <v>127</v>
      </c>
      <c r="C61" s="9">
        <v>0</v>
      </c>
      <c r="D61" s="9">
        <v>0</v>
      </c>
      <c r="E61" s="9">
        <f>SUM(C61:D61)</f>
        <v>0</v>
      </c>
      <c r="F61" s="12">
        <v>28</v>
      </c>
      <c r="G61" s="9"/>
    </row>
    <row r="62" ht="15.95" customHeight="1" spans="1:7">
      <c r="A62" s="45" t="s">
        <v>128</v>
      </c>
      <c r="B62" s="42" t="s">
        <v>129</v>
      </c>
      <c r="C62" s="9">
        <v>0</v>
      </c>
      <c r="D62" s="9">
        <v>0</v>
      </c>
      <c r="E62" s="9">
        <f>SUM(C62:D62)</f>
        <v>0</v>
      </c>
      <c r="F62" s="12">
        <v>18</v>
      </c>
      <c r="G62" s="9" t="s">
        <v>130</v>
      </c>
    </row>
    <row r="63" ht="15.95" customHeight="1" spans="1:7">
      <c r="A63" s="45" t="s">
        <v>131</v>
      </c>
      <c r="B63" s="44" t="s">
        <v>132</v>
      </c>
      <c r="C63" s="9">
        <v>0</v>
      </c>
      <c r="D63" s="9">
        <v>0</v>
      </c>
      <c r="E63" s="9">
        <f>SUM(C63:D63)</f>
        <v>0</v>
      </c>
      <c r="F63" s="12">
        <v>11</v>
      </c>
      <c r="G63" s="9" t="s">
        <v>133</v>
      </c>
    </row>
  </sheetData>
  <conditionalFormatting sqref="B$1:B$1048576">
    <cfRule type="duplicateValues" dxfId="0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3"/>
  <sheetViews>
    <sheetView zoomScale="90" zoomScaleNormal="90" topLeftCell="B2" workbookViewId="0">
      <pane ySplit="2" topLeftCell="AE4" activePane="bottomLeft" state="frozen"/>
      <selection/>
      <selection pane="bottomLeft" activeCell="AK3" sqref="AK3"/>
    </sheetView>
  </sheetViews>
  <sheetFormatPr defaultColWidth="8.75238095238095" defaultRowHeight="15" customHeight="1"/>
  <cols>
    <col min="1" max="1" width="12.1238095238095" customWidth="1"/>
    <col min="2" max="2" width="35.5047619047619" customWidth="1"/>
    <col min="3" max="3" width="14.3714285714286" customWidth="1"/>
    <col min="4" max="4" width="11.247619047619" customWidth="1"/>
    <col min="5" max="7" width="13.3714285714286" customWidth="1"/>
    <col min="8" max="8" width="9.5047619047619" style="22" customWidth="1"/>
    <col min="9" max="38" width="8.75238095238095" style="22" customWidth="1"/>
    <col min="39" max="39" width="8" style="22" customWidth="1"/>
    <col min="40" max="69" width="8.75238095238095" style="22"/>
  </cols>
  <sheetData>
    <row r="1" spans="1:69">
      <c r="A1" s="9"/>
      <c r="B1" s="23" t="s">
        <v>134</v>
      </c>
      <c r="C1" s="23"/>
      <c r="D1" s="23"/>
      <c r="E1" s="23"/>
      <c r="F1" s="23"/>
      <c r="G1" s="23"/>
      <c r="H1" s="24">
        <f t="shared" ref="H1:AK1" si="0">_xlfn.AGGREGATE(9,7,H4:H43)</f>
        <v>42</v>
      </c>
      <c r="I1" s="24">
        <f t="shared" si="0"/>
        <v>74</v>
      </c>
      <c r="J1" s="24">
        <f t="shared" si="0"/>
        <v>40</v>
      </c>
      <c r="K1" s="24">
        <f t="shared" si="0"/>
        <v>41</v>
      </c>
      <c r="L1" s="24">
        <f t="shared" si="0"/>
        <v>17048</v>
      </c>
      <c r="M1" s="24">
        <f t="shared" si="0"/>
        <v>32</v>
      </c>
      <c r="N1" s="24">
        <f t="shared" si="0"/>
        <v>7</v>
      </c>
      <c r="O1" s="24">
        <f t="shared" si="0"/>
        <v>202</v>
      </c>
      <c r="P1" s="24">
        <f t="shared" si="0"/>
        <v>84</v>
      </c>
      <c r="Q1" s="24">
        <f t="shared" si="0"/>
        <v>239</v>
      </c>
      <c r="R1" s="24">
        <f t="shared" si="0"/>
        <v>43</v>
      </c>
      <c r="S1" s="24">
        <f t="shared" si="0"/>
        <v>35</v>
      </c>
      <c r="T1" s="24">
        <f t="shared" si="0"/>
        <v>243</v>
      </c>
      <c r="U1" s="24">
        <f t="shared" si="0"/>
        <v>111</v>
      </c>
      <c r="V1" s="24">
        <f t="shared" si="0"/>
        <v>40</v>
      </c>
      <c r="W1" s="24">
        <f t="shared" si="0"/>
        <v>165</v>
      </c>
      <c r="X1" s="24">
        <f t="shared" si="0"/>
        <v>1225</v>
      </c>
      <c r="Y1" s="24">
        <f t="shared" si="0"/>
        <v>38</v>
      </c>
      <c r="Z1" s="24">
        <f t="shared" si="0"/>
        <v>190</v>
      </c>
      <c r="AA1" s="24">
        <f t="shared" si="0"/>
        <v>38</v>
      </c>
      <c r="AB1" s="24">
        <f t="shared" si="0"/>
        <v>37</v>
      </c>
      <c r="AC1" s="24">
        <f t="shared" si="0"/>
        <v>32</v>
      </c>
      <c r="AD1" s="24">
        <f t="shared" si="0"/>
        <v>40</v>
      </c>
      <c r="AE1" s="24">
        <f t="shared" si="0"/>
        <v>40</v>
      </c>
      <c r="AF1" s="24">
        <f t="shared" si="0"/>
        <v>38</v>
      </c>
      <c r="AG1" s="24">
        <f t="shared" si="0"/>
        <v>283</v>
      </c>
      <c r="AH1" s="24">
        <f t="shared" si="0"/>
        <v>38</v>
      </c>
      <c r="AI1" s="24">
        <f t="shared" si="0"/>
        <v>161</v>
      </c>
      <c r="AJ1" s="24">
        <f t="shared" si="0"/>
        <v>37</v>
      </c>
      <c r="AK1" s="24">
        <f t="shared" si="0"/>
        <v>24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</row>
    <row r="2" spans="1:69">
      <c r="A2" s="1"/>
      <c r="B2" s="1"/>
      <c r="C2" s="1"/>
      <c r="D2" s="25">
        <f>SUBTOTAL(9,D4:D67)</f>
        <v>37131</v>
      </c>
      <c r="E2" s="25">
        <f>SUBTOTAL(9,E4:E72)</f>
        <v>549</v>
      </c>
      <c r="F2" s="25">
        <f>SUBTOTAL(9,F4:F72)</f>
        <v>447</v>
      </c>
      <c r="G2" s="25">
        <f>SUBTOTAL(9,G4:G72)</f>
        <v>191</v>
      </c>
      <c r="H2" s="26">
        <f>SUBTOTAL(9,H4:H72)</f>
        <v>169</v>
      </c>
      <c r="I2" s="26">
        <f t="shared" ref="I2:AM2" si="1">SUBTOTAL(9,I4:I72)</f>
        <v>466</v>
      </c>
      <c r="J2" s="26">
        <f t="shared" si="1"/>
        <v>180</v>
      </c>
      <c r="K2" s="26">
        <f t="shared" si="1"/>
        <v>246</v>
      </c>
      <c r="L2" s="26">
        <f t="shared" si="1"/>
        <v>76733</v>
      </c>
      <c r="M2" s="26">
        <f t="shared" si="1"/>
        <v>122</v>
      </c>
      <c r="N2" s="26">
        <f t="shared" si="1"/>
        <v>40</v>
      </c>
      <c r="O2" s="26">
        <f t="shared" si="1"/>
        <v>884</v>
      </c>
      <c r="P2" s="26">
        <f t="shared" si="1"/>
        <v>479</v>
      </c>
      <c r="Q2" s="26">
        <f t="shared" si="1"/>
        <v>1014</v>
      </c>
      <c r="R2" s="26">
        <f t="shared" si="1"/>
        <v>168</v>
      </c>
      <c r="S2" s="26">
        <f t="shared" si="1"/>
        <v>120</v>
      </c>
      <c r="T2" s="26">
        <f t="shared" si="1"/>
        <v>2021</v>
      </c>
      <c r="U2" s="26">
        <f t="shared" si="1"/>
        <v>488</v>
      </c>
      <c r="V2" s="26">
        <f t="shared" si="1"/>
        <v>155</v>
      </c>
      <c r="W2" s="26">
        <f t="shared" si="1"/>
        <v>1051</v>
      </c>
      <c r="X2" s="26">
        <f t="shared" si="1"/>
        <v>10468</v>
      </c>
      <c r="Y2" s="26">
        <f t="shared" si="1"/>
        <v>121</v>
      </c>
      <c r="Z2" s="26">
        <f t="shared" si="1"/>
        <v>1093</v>
      </c>
      <c r="AA2" s="26">
        <f t="shared" si="1"/>
        <v>123</v>
      </c>
      <c r="AB2" s="26">
        <f t="shared" si="1"/>
        <v>165</v>
      </c>
      <c r="AC2" s="26">
        <f t="shared" si="1"/>
        <v>156</v>
      </c>
      <c r="AD2" s="26">
        <f t="shared" si="1"/>
        <v>172</v>
      </c>
      <c r="AE2" s="26">
        <f t="shared" si="1"/>
        <v>153</v>
      </c>
      <c r="AF2" s="26">
        <f t="shared" si="1"/>
        <v>146</v>
      </c>
      <c r="AG2" s="26">
        <f t="shared" si="1"/>
        <v>1760</v>
      </c>
      <c r="AH2" s="26">
        <f t="shared" si="1"/>
        <v>164</v>
      </c>
      <c r="AI2" s="26">
        <f t="shared" si="1"/>
        <v>1148</v>
      </c>
      <c r="AJ2" s="26">
        <f t="shared" si="1"/>
        <v>167</v>
      </c>
      <c r="AK2" s="26">
        <f t="shared" si="1"/>
        <v>112</v>
      </c>
      <c r="AL2" s="26">
        <f t="shared" si="1"/>
        <v>116</v>
      </c>
      <c r="AM2" s="26">
        <f t="shared" si="1"/>
        <v>111</v>
      </c>
      <c r="AN2" s="26"/>
      <c r="AO2" s="26">
        <f t="shared" ref="AO2:BQ2" si="2">SUBTOTAL(9,AO4:AO72)</f>
        <v>11</v>
      </c>
      <c r="AP2" s="26">
        <f t="shared" si="2"/>
        <v>36</v>
      </c>
      <c r="AQ2" s="26">
        <f t="shared" si="2"/>
        <v>43</v>
      </c>
      <c r="AR2" s="26">
        <f t="shared" si="2"/>
        <v>0</v>
      </c>
      <c r="AS2" s="26">
        <f t="shared" si="2"/>
        <v>24</v>
      </c>
      <c r="AT2" s="26">
        <f t="shared" si="2"/>
        <v>29</v>
      </c>
      <c r="AU2" s="26">
        <f t="shared" si="2"/>
        <v>19</v>
      </c>
      <c r="AV2" s="26">
        <f t="shared" si="2"/>
        <v>14</v>
      </c>
      <c r="AW2" s="26">
        <f t="shared" si="2"/>
        <v>49</v>
      </c>
      <c r="AX2" s="26">
        <f t="shared" si="2"/>
        <v>2</v>
      </c>
      <c r="AY2" s="26">
        <f t="shared" si="2"/>
        <v>14</v>
      </c>
      <c r="AZ2" s="26">
        <f t="shared" si="2"/>
        <v>4</v>
      </c>
      <c r="BA2" s="26">
        <f t="shared" si="2"/>
        <v>6</v>
      </c>
      <c r="BB2" s="26">
        <f t="shared" si="2"/>
        <v>14</v>
      </c>
      <c r="BC2" s="26">
        <f t="shared" si="2"/>
        <v>6</v>
      </c>
      <c r="BD2" s="26">
        <f t="shared" si="2"/>
        <v>148</v>
      </c>
      <c r="BE2" s="26">
        <f t="shared" si="2"/>
        <v>45</v>
      </c>
      <c r="BF2" s="26">
        <f t="shared" si="2"/>
        <v>27</v>
      </c>
      <c r="BG2" s="26">
        <f t="shared" si="2"/>
        <v>11</v>
      </c>
      <c r="BH2" s="26">
        <f t="shared" si="2"/>
        <v>52</v>
      </c>
      <c r="BI2" s="26">
        <f t="shared" si="2"/>
        <v>35</v>
      </c>
      <c r="BJ2" s="26">
        <f t="shared" si="2"/>
        <v>83</v>
      </c>
      <c r="BK2" s="26">
        <f t="shared" si="2"/>
        <v>89</v>
      </c>
      <c r="BL2" s="26">
        <f t="shared" si="2"/>
        <v>80</v>
      </c>
      <c r="BM2" s="26">
        <f t="shared" si="2"/>
        <v>49</v>
      </c>
      <c r="BN2" s="26">
        <f t="shared" si="2"/>
        <v>93</v>
      </c>
      <c r="BO2" s="26">
        <f t="shared" si="2"/>
        <v>28</v>
      </c>
      <c r="BP2" s="26">
        <f t="shared" si="2"/>
        <v>18</v>
      </c>
      <c r="BQ2" s="26">
        <f t="shared" si="2"/>
        <v>11</v>
      </c>
    </row>
    <row r="3" ht="101.25" customHeight="1" spans="1:69">
      <c r="A3" s="1" t="s">
        <v>135</v>
      </c>
      <c r="B3" s="1" t="s">
        <v>136</v>
      </c>
      <c r="C3" s="1" t="s">
        <v>137</v>
      </c>
      <c r="D3" s="1" t="s">
        <v>138</v>
      </c>
      <c r="E3" s="2" t="s">
        <v>139</v>
      </c>
      <c r="F3" s="2" t="s">
        <v>140</v>
      </c>
      <c r="G3" s="2" t="s">
        <v>141</v>
      </c>
      <c r="H3" s="3" t="s">
        <v>8</v>
      </c>
      <c r="I3" s="3" t="s">
        <v>10</v>
      </c>
      <c r="J3" s="3" t="s">
        <v>12</v>
      </c>
      <c r="K3" s="3" t="s">
        <v>14</v>
      </c>
      <c r="L3" s="3" t="s">
        <v>16</v>
      </c>
      <c r="M3" s="3" t="s">
        <v>18</v>
      </c>
      <c r="N3" s="3" t="s">
        <v>20</v>
      </c>
      <c r="O3" s="3" t="s">
        <v>22</v>
      </c>
      <c r="P3" s="3" t="s">
        <v>24</v>
      </c>
      <c r="Q3" s="3" t="s">
        <v>26</v>
      </c>
      <c r="R3" s="3" t="s">
        <v>28</v>
      </c>
      <c r="S3" s="3" t="s">
        <v>30</v>
      </c>
      <c r="T3" s="3" t="s">
        <v>32</v>
      </c>
      <c r="U3" s="3" t="s">
        <v>34</v>
      </c>
      <c r="V3" s="3" t="s">
        <v>36</v>
      </c>
      <c r="W3" s="3" t="s">
        <v>38</v>
      </c>
      <c r="X3" s="3" t="s">
        <v>40</v>
      </c>
      <c r="Y3" s="3" t="s">
        <v>42</v>
      </c>
      <c r="Z3" s="3" t="s">
        <v>44</v>
      </c>
      <c r="AA3" s="3" t="s">
        <v>46</v>
      </c>
      <c r="AB3" s="3" t="s">
        <v>48</v>
      </c>
      <c r="AC3" s="3" t="s">
        <v>50</v>
      </c>
      <c r="AD3" s="3" t="s">
        <v>52</v>
      </c>
      <c r="AE3" s="3" t="s">
        <v>54</v>
      </c>
      <c r="AF3" s="3" t="s">
        <v>56</v>
      </c>
      <c r="AG3" s="3" t="s">
        <v>58</v>
      </c>
      <c r="AH3" s="3" t="s">
        <v>60</v>
      </c>
      <c r="AI3" s="3" t="s">
        <v>62</v>
      </c>
      <c r="AJ3" s="3" t="s">
        <v>64</v>
      </c>
      <c r="AK3" s="3" t="s">
        <v>66</v>
      </c>
      <c r="AL3" s="3" t="s">
        <v>142</v>
      </c>
      <c r="AM3" s="3" t="s">
        <v>143</v>
      </c>
      <c r="AN3" s="3" t="s">
        <v>125</v>
      </c>
      <c r="AO3" s="4" t="s">
        <v>72</v>
      </c>
      <c r="AP3" s="4" t="s">
        <v>75</v>
      </c>
      <c r="AQ3" s="4" t="s">
        <v>77</v>
      </c>
      <c r="AR3" s="5" t="s">
        <v>79</v>
      </c>
      <c r="AS3" s="4" t="s">
        <v>81</v>
      </c>
      <c r="AT3" s="4" t="s">
        <v>83</v>
      </c>
      <c r="AU3" s="4" t="s">
        <v>85</v>
      </c>
      <c r="AV3" s="4" t="s">
        <v>87</v>
      </c>
      <c r="AW3" s="4" t="s">
        <v>89</v>
      </c>
      <c r="AX3" s="4" t="s">
        <v>91</v>
      </c>
      <c r="AY3" s="4" t="s">
        <v>93</v>
      </c>
      <c r="AZ3" s="4" t="s">
        <v>95</v>
      </c>
      <c r="BA3" s="4" t="s">
        <v>97</v>
      </c>
      <c r="BB3" s="4" t="s">
        <v>99</v>
      </c>
      <c r="BC3" s="4" t="s">
        <v>101</v>
      </c>
      <c r="BD3" s="4" t="s">
        <v>103</v>
      </c>
      <c r="BE3" s="4" t="s">
        <v>105</v>
      </c>
      <c r="BF3" s="4" t="s">
        <v>107</v>
      </c>
      <c r="BG3" s="4" t="s">
        <v>109</v>
      </c>
      <c r="BH3" s="4" t="s">
        <v>111</v>
      </c>
      <c r="BI3" s="4" t="s">
        <v>113</v>
      </c>
      <c r="BJ3" s="4" t="s">
        <v>144</v>
      </c>
      <c r="BK3" s="4" t="s">
        <v>117</v>
      </c>
      <c r="BL3" s="4" t="s">
        <v>119</v>
      </c>
      <c r="BM3" s="4" t="s">
        <v>121</v>
      </c>
      <c r="BN3" s="4" t="s">
        <v>123</v>
      </c>
      <c r="BO3" s="4" t="s">
        <v>127</v>
      </c>
      <c r="BP3" s="4" t="s">
        <v>129</v>
      </c>
      <c r="BQ3" s="4" t="s">
        <v>132</v>
      </c>
    </row>
    <row r="4" spans="1:69">
      <c r="A4" s="6" t="s">
        <v>145</v>
      </c>
      <c r="B4" s="6" t="s">
        <v>146</v>
      </c>
      <c r="C4" s="6" t="s">
        <v>147</v>
      </c>
      <c r="D4" s="6">
        <v>468</v>
      </c>
      <c r="E4" s="6">
        <v>5</v>
      </c>
      <c r="F4" s="6">
        <v>4</v>
      </c>
      <c r="G4" s="6">
        <v>1</v>
      </c>
      <c r="H4" s="7">
        <v>1</v>
      </c>
      <c r="I4" s="7">
        <v>2</v>
      </c>
      <c r="J4" s="7">
        <v>1</v>
      </c>
      <c r="K4" s="7">
        <v>1</v>
      </c>
      <c r="L4" s="7">
        <v>535</v>
      </c>
      <c r="M4" s="7">
        <v>1</v>
      </c>
      <c r="N4" s="7">
        <v>1</v>
      </c>
      <c r="O4" s="7">
        <v>10</v>
      </c>
      <c r="P4" s="7">
        <v>1</v>
      </c>
      <c r="Q4" s="7">
        <v>5</v>
      </c>
      <c r="R4" s="7">
        <v>1</v>
      </c>
      <c r="S4" s="7">
        <v>1</v>
      </c>
      <c r="T4" s="7">
        <v>6</v>
      </c>
      <c r="U4" s="7">
        <v>4</v>
      </c>
      <c r="V4" s="7">
        <v>1</v>
      </c>
      <c r="W4" s="8">
        <v>5</v>
      </c>
      <c r="X4" s="7">
        <v>30</v>
      </c>
      <c r="Y4" s="7">
        <v>1</v>
      </c>
      <c r="Z4" s="8">
        <v>5</v>
      </c>
      <c r="AA4" s="8">
        <v>1</v>
      </c>
      <c r="AB4" s="8">
        <v>1</v>
      </c>
      <c r="AC4" s="7">
        <v>0</v>
      </c>
      <c r="AD4" s="8">
        <v>1</v>
      </c>
      <c r="AE4" s="8">
        <v>1</v>
      </c>
      <c r="AF4" s="8">
        <v>1</v>
      </c>
      <c r="AG4" s="7">
        <v>12</v>
      </c>
      <c r="AH4" s="8">
        <v>1</v>
      </c>
      <c r="AI4" s="7">
        <v>3</v>
      </c>
      <c r="AJ4" s="7">
        <v>1</v>
      </c>
      <c r="AK4" s="7">
        <v>1</v>
      </c>
      <c r="AL4" s="7">
        <v>0</v>
      </c>
      <c r="AM4" s="7">
        <v>0</v>
      </c>
      <c r="AN4" s="7">
        <v>5</v>
      </c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</row>
    <row r="5" ht="14.85" customHeight="1" spans="1:69">
      <c r="A5" s="6" t="s">
        <v>145</v>
      </c>
      <c r="B5" s="9" t="s">
        <v>148</v>
      </c>
      <c r="C5" s="6" t="s">
        <v>149</v>
      </c>
      <c r="D5" s="6">
        <v>101</v>
      </c>
      <c r="E5" s="6">
        <v>2</v>
      </c>
      <c r="F5" s="6">
        <v>2</v>
      </c>
      <c r="G5" s="6">
        <v>1</v>
      </c>
      <c r="H5" s="7">
        <v>1</v>
      </c>
      <c r="I5" s="7">
        <v>2</v>
      </c>
      <c r="J5" s="7">
        <v>1</v>
      </c>
      <c r="K5" s="7">
        <v>0</v>
      </c>
      <c r="L5" s="7">
        <v>98</v>
      </c>
      <c r="M5" s="7">
        <v>0</v>
      </c>
      <c r="N5" s="7">
        <v>0</v>
      </c>
      <c r="O5" s="7">
        <v>5</v>
      </c>
      <c r="P5" s="7">
        <v>1</v>
      </c>
      <c r="Q5" s="7">
        <v>5</v>
      </c>
      <c r="R5" s="7">
        <v>1</v>
      </c>
      <c r="S5" s="7">
        <v>1</v>
      </c>
      <c r="T5" s="7">
        <v>2</v>
      </c>
      <c r="U5" s="7">
        <v>2</v>
      </c>
      <c r="V5" s="7">
        <v>1</v>
      </c>
      <c r="W5" s="8">
        <v>1</v>
      </c>
      <c r="X5" s="7">
        <v>10</v>
      </c>
      <c r="Y5" s="7">
        <v>1</v>
      </c>
      <c r="Z5" s="8">
        <v>2</v>
      </c>
      <c r="AA5" s="8">
        <v>1</v>
      </c>
      <c r="AB5" s="8">
        <v>1</v>
      </c>
      <c r="AC5" s="7">
        <v>1</v>
      </c>
      <c r="AD5" s="8">
        <v>1</v>
      </c>
      <c r="AE5" s="8">
        <v>1</v>
      </c>
      <c r="AF5" s="8">
        <v>1</v>
      </c>
      <c r="AG5" s="7">
        <v>2</v>
      </c>
      <c r="AH5" s="8">
        <v>1</v>
      </c>
      <c r="AI5" s="7">
        <v>1</v>
      </c>
      <c r="AJ5" s="7">
        <v>1</v>
      </c>
      <c r="AK5" s="7">
        <v>0</v>
      </c>
      <c r="AL5" s="7">
        <v>0</v>
      </c>
      <c r="AM5" s="7">
        <v>0</v>
      </c>
      <c r="AN5" s="7">
        <v>1</v>
      </c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</row>
    <row r="6" ht="14.85" customHeight="1" spans="1:69">
      <c r="A6" s="6" t="s">
        <v>145</v>
      </c>
      <c r="B6" s="6" t="s">
        <v>150</v>
      </c>
      <c r="C6" s="6" t="s">
        <v>147</v>
      </c>
      <c r="D6" s="6">
        <v>830</v>
      </c>
      <c r="E6" s="6">
        <v>4</v>
      </c>
      <c r="F6" s="6">
        <v>4</v>
      </c>
      <c r="G6" s="6">
        <v>1</v>
      </c>
      <c r="H6" s="7">
        <v>1</v>
      </c>
      <c r="I6" s="7">
        <v>2</v>
      </c>
      <c r="J6" s="7">
        <v>1</v>
      </c>
      <c r="K6" s="7">
        <v>1</v>
      </c>
      <c r="L6" s="7">
        <v>828</v>
      </c>
      <c r="M6" s="7">
        <v>1</v>
      </c>
      <c r="N6" s="7">
        <v>0</v>
      </c>
      <c r="O6" s="7">
        <v>10</v>
      </c>
      <c r="P6" s="7">
        <v>3</v>
      </c>
      <c r="Q6" s="7">
        <v>9</v>
      </c>
      <c r="R6" s="7">
        <v>1</v>
      </c>
      <c r="S6" s="7">
        <v>1</v>
      </c>
      <c r="T6" s="7">
        <v>8</v>
      </c>
      <c r="U6" s="7">
        <v>1</v>
      </c>
      <c r="V6" s="7">
        <v>1</v>
      </c>
      <c r="W6" s="8">
        <v>1</v>
      </c>
      <c r="X6" s="7">
        <v>40</v>
      </c>
      <c r="Y6" s="7">
        <v>1</v>
      </c>
      <c r="Z6" s="8">
        <v>6</v>
      </c>
      <c r="AA6" s="8">
        <v>1</v>
      </c>
      <c r="AB6" s="8">
        <v>1</v>
      </c>
      <c r="AC6" s="7">
        <v>1</v>
      </c>
      <c r="AD6" s="8">
        <v>1</v>
      </c>
      <c r="AE6" s="8">
        <v>1</v>
      </c>
      <c r="AF6" s="8">
        <v>1</v>
      </c>
      <c r="AG6" s="7">
        <v>8</v>
      </c>
      <c r="AH6" s="8">
        <v>1</v>
      </c>
      <c r="AI6" s="7">
        <v>4</v>
      </c>
      <c r="AJ6" s="7">
        <v>1</v>
      </c>
      <c r="AK6" s="7">
        <v>1</v>
      </c>
      <c r="AL6" s="7">
        <v>0</v>
      </c>
      <c r="AM6" s="7">
        <v>0</v>
      </c>
      <c r="AN6" s="7">
        <v>9</v>
      </c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</row>
    <row r="7" ht="14.85" customHeight="1" spans="1:69">
      <c r="A7" s="9" t="s">
        <v>151</v>
      </c>
      <c r="B7" s="6" t="s">
        <v>152</v>
      </c>
      <c r="C7" s="6" t="s">
        <v>153</v>
      </c>
      <c r="D7" s="6">
        <v>1038</v>
      </c>
      <c r="E7" s="6">
        <v>5</v>
      </c>
      <c r="F7" s="6">
        <v>6</v>
      </c>
      <c r="G7" s="6">
        <v>1</v>
      </c>
      <c r="H7" s="7">
        <v>1</v>
      </c>
      <c r="I7" s="7">
        <v>2</v>
      </c>
      <c r="J7" s="7">
        <v>1</v>
      </c>
      <c r="K7" s="7">
        <v>1</v>
      </c>
      <c r="L7" s="7">
        <v>1042</v>
      </c>
      <c r="M7" s="7">
        <v>1</v>
      </c>
      <c r="N7" s="7">
        <v>1</v>
      </c>
      <c r="O7" s="7">
        <v>10</v>
      </c>
      <c r="P7" s="7">
        <v>5</v>
      </c>
      <c r="Q7" s="7">
        <v>10</v>
      </c>
      <c r="R7" s="7">
        <v>1</v>
      </c>
      <c r="S7" s="7">
        <v>1</v>
      </c>
      <c r="T7" s="7">
        <v>18</v>
      </c>
      <c r="U7" s="7">
        <v>10</v>
      </c>
      <c r="V7" s="7">
        <v>1</v>
      </c>
      <c r="W7" s="7">
        <v>12</v>
      </c>
      <c r="X7" s="7">
        <v>90</v>
      </c>
      <c r="Y7" s="7">
        <v>1</v>
      </c>
      <c r="Z7" s="8">
        <v>14</v>
      </c>
      <c r="AA7" s="8">
        <v>1</v>
      </c>
      <c r="AB7" s="8">
        <v>1</v>
      </c>
      <c r="AC7" s="7">
        <v>1</v>
      </c>
      <c r="AD7" s="8">
        <v>1</v>
      </c>
      <c r="AE7" s="8">
        <v>1</v>
      </c>
      <c r="AF7" s="8">
        <v>1</v>
      </c>
      <c r="AG7" s="7">
        <v>18</v>
      </c>
      <c r="AH7" s="8">
        <v>1</v>
      </c>
      <c r="AI7" s="7">
        <v>9</v>
      </c>
      <c r="AJ7" s="7">
        <v>1</v>
      </c>
      <c r="AK7" s="7">
        <v>1</v>
      </c>
      <c r="AL7" s="7">
        <v>1</v>
      </c>
      <c r="AM7" s="7">
        <v>1</v>
      </c>
      <c r="AN7" s="7">
        <v>11</v>
      </c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</row>
    <row r="8" ht="14.85" customHeight="1" spans="1:69">
      <c r="A8" s="6" t="s">
        <v>145</v>
      </c>
      <c r="B8" s="9" t="s">
        <v>154</v>
      </c>
      <c r="C8" s="6" t="s">
        <v>149</v>
      </c>
      <c r="D8" s="6">
        <v>132</v>
      </c>
      <c r="E8" s="6">
        <v>2</v>
      </c>
      <c r="F8" s="6">
        <v>2</v>
      </c>
      <c r="G8" s="6">
        <v>1</v>
      </c>
      <c r="H8" s="7">
        <v>1</v>
      </c>
      <c r="I8" s="7">
        <v>2</v>
      </c>
      <c r="J8" s="7">
        <v>1</v>
      </c>
      <c r="K8" s="7">
        <v>0</v>
      </c>
      <c r="L8" s="7">
        <v>122</v>
      </c>
      <c r="M8" s="7">
        <v>0</v>
      </c>
      <c r="N8" s="7">
        <v>0</v>
      </c>
      <c r="O8" s="7">
        <v>0</v>
      </c>
      <c r="P8" s="7">
        <v>1</v>
      </c>
      <c r="Q8" s="7">
        <v>5</v>
      </c>
      <c r="R8" s="7">
        <v>1</v>
      </c>
      <c r="S8" s="7">
        <v>1</v>
      </c>
      <c r="T8" s="7">
        <v>2</v>
      </c>
      <c r="U8" s="7">
        <v>2</v>
      </c>
      <c r="V8" s="7">
        <v>1</v>
      </c>
      <c r="W8" s="8">
        <v>1</v>
      </c>
      <c r="X8" s="7">
        <v>10</v>
      </c>
      <c r="Y8" s="7">
        <v>1</v>
      </c>
      <c r="Z8" s="8">
        <v>2</v>
      </c>
      <c r="AA8" s="8">
        <v>1</v>
      </c>
      <c r="AB8" s="8">
        <v>1</v>
      </c>
      <c r="AC8" s="7">
        <v>1</v>
      </c>
      <c r="AD8" s="8">
        <v>1</v>
      </c>
      <c r="AE8" s="8">
        <v>1</v>
      </c>
      <c r="AF8" s="8">
        <v>1</v>
      </c>
      <c r="AG8" s="7">
        <v>0</v>
      </c>
      <c r="AH8" s="8">
        <v>1</v>
      </c>
      <c r="AI8" s="7">
        <v>0</v>
      </c>
      <c r="AJ8" s="7">
        <v>1</v>
      </c>
      <c r="AK8" s="7">
        <v>0</v>
      </c>
      <c r="AL8" s="7">
        <v>1</v>
      </c>
      <c r="AM8" s="7">
        <v>1</v>
      </c>
      <c r="AN8" s="7">
        <v>2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</row>
    <row r="9" ht="14.85" customHeight="1" spans="1:69">
      <c r="A9" s="6" t="s">
        <v>145</v>
      </c>
      <c r="B9" s="9" t="s">
        <v>155</v>
      </c>
      <c r="C9" s="6" t="s">
        <v>149</v>
      </c>
      <c r="D9" s="6">
        <v>49</v>
      </c>
      <c r="E9" s="6">
        <v>2</v>
      </c>
      <c r="F9" s="6">
        <v>2</v>
      </c>
      <c r="G9" s="6">
        <v>1</v>
      </c>
      <c r="H9" s="7">
        <v>1</v>
      </c>
      <c r="I9" s="7">
        <v>2</v>
      </c>
      <c r="J9" s="7">
        <v>1</v>
      </c>
      <c r="K9" s="7">
        <v>1</v>
      </c>
      <c r="L9" s="7">
        <v>48</v>
      </c>
      <c r="M9" s="7">
        <v>1</v>
      </c>
      <c r="N9" s="7">
        <v>0</v>
      </c>
      <c r="O9" s="7">
        <v>5</v>
      </c>
      <c r="P9" s="7">
        <v>1</v>
      </c>
      <c r="Q9" s="7">
        <v>5</v>
      </c>
      <c r="R9" s="7">
        <v>1</v>
      </c>
      <c r="S9" s="7">
        <v>1</v>
      </c>
      <c r="T9" s="7">
        <v>2</v>
      </c>
      <c r="U9" s="7">
        <v>2</v>
      </c>
      <c r="V9" s="7">
        <v>1</v>
      </c>
      <c r="W9" s="8">
        <v>1</v>
      </c>
      <c r="X9" s="7">
        <v>10</v>
      </c>
      <c r="Y9" s="7">
        <v>1</v>
      </c>
      <c r="Z9" s="8">
        <v>2</v>
      </c>
      <c r="AA9" s="8">
        <v>1</v>
      </c>
      <c r="AB9" s="8">
        <v>1</v>
      </c>
      <c r="AC9" s="7">
        <v>1</v>
      </c>
      <c r="AD9" s="8">
        <v>1</v>
      </c>
      <c r="AE9" s="8">
        <v>1</v>
      </c>
      <c r="AF9" s="8">
        <v>1</v>
      </c>
      <c r="AG9" s="7">
        <v>2</v>
      </c>
      <c r="AH9" s="8">
        <v>1</v>
      </c>
      <c r="AI9" s="7">
        <v>1</v>
      </c>
      <c r="AJ9" s="7">
        <v>1</v>
      </c>
      <c r="AK9" s="7">
        <v>1</v>
      </c>
      <c r="AL9" s="7">
        <v>0</v>
      </c>
      <c r="AM9" s="7">
        <v>0</v>
      </c>
      <c r="AN9" s="7">
        <v>1</v>
      </c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</row>
    <row r="10" ht="14.85" customHeight="1" spans="1:69">
      <c r="A10" s="6" t="s">
        <v>145</v>
      </c>
      <c r="B10" s="9" t="s">
        <v>156</v>
      </c>
      <c r="C10" s="6" t="s">
        <v>149</v>
      </c>
      <c r="D10" s="6">
        <v>150</v>
      </c>
      <c r="E10" s="6">
        <v>2</v>
      </c>
      <c r="F10" s="6">
        <v>2</v>
      </c>
      <c r="G10" s="6">
        <v>1</v>
      </c>
      <c r="H10" s="7">
        <v>1</v>
      </c>
      <c r="I10" s="7">
        <v>2</v>
      </c>
      <c r="J10" s="7">
        <v>1</v>
      </c>
      <c r="K10" s="7">
        <v>1</v>
      </c>
      <c r="L10" s="7">
        <v>149</v>
      </c>
      <c r="M10" s="7">
        <v>0</v>
      </c>
      <c r="N10" s="7">
        <v>0</v>
      </c>
      <c r="O10" s="7">
        <v>3</v>
      </c>
      <c r="P10" s="7">
        <v>1</v>
      </c>
      <c r="Q10" s="7">
        <v>5</v>
      </c>
      <c r="R10" s="7">
        <v>1</v>
      </c>
      <c r="S10" s="7">
        <v>1</v>
      </c>
      <c r="T10" s="7">
        <v>2</v>
      </c>
      <c r="U10" s="7">
        <v>2</v>
      </c>
      <c r="V10" s="7">
        <v>1</v>
      </c>
      <c r="W10" s="8">
        <v>1</v>
      </c>
      <c r="X10" s="7">
        <v>10</v>
      </c>
      <c r="Y10" s="7">
        <v>1</v>
      </c>
      <c r="Z10" s="8">
        <v>2</v>
      </c>
      <c r="AA10" s="8">
        <v>1</v>
      </c>
      <c r="AB10" s="8">
        <v>1</v>
      </c>
      <c r="AC10" s="7">
        <v>1</v>
      </c>
      <c r="AD10" s="8">
        <v>1</v>
      </c>
      <c r="AE10" s="8">
        <v>1</v>
      </c>
      <c r="AF10" s="8">
        <v>1</v>
      </c>
      <c r="AG10" s="7">
        <v>4</v>
      </c>
      <c r="AH10" s="8">
        <v>1</v>
      </c>
      <c r="AI10" s="7">
        <v>1</v>
      </c>
      <c r="AJ10" s="7">
        <v>1</v>
      </c>
      <c r="AK10" s="7">
        <v>0</v>
      </c>
      <c r="AL10" s="7">
        <v>0</v>
      </c>
      <c r="AM10" s="7">
        <v>0</v>
      </c>
      <c r="AN10" s="7">
        <v>2</v>
      </c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</row>
    <row r="11" ht="14.85" customHeight="1" spans="1:69">
      <c r="A11" s="9" t="s">
        <v>151</v>
      </c>
      <c r="B11" s="9" t="s">
        <v>157</v>
      </c>
      <c r="C11" s="6" t="s">
        <v>149</v>
      </c>
      <c r="D11" s="6">
        <v>82</v>
      </c>
      <c r="E11" s="6">
        <v>2</v>
      </c>
      <c r="F11" s="6">
        <v>2</v>
      </c>
      <c r="G11" s="6">
        <v>1</v>
      </c>
      <c r="H11" s="7">
        <v>1</v>
      </c>
      <c r="I11" s="7">
        <v>2</v>
      </c>
      <c r="J11" s="7">
        <v>1</v>
      </c>
      <c r="K11" s="7">
        <v>1</v>
      </c>
      <c r="L11" s="7">
        <v>81</v>
      </c>
      <c r="M11" s="7">
        <v>1</v>
      </c>
      <c r="N11" s="7">
        <v>0</v>
      </c>
      <c r="O11" s="7">
        <v>5</v>
      </c>
      <c r="P11" s="7">
        <v>1</v>
      </c>
      <c r="Q11" s="7">
        <v>5</v>
      </c>
      <c r="R11" s="7">
        <v>1</v>
      </c>
      <c r="S11" s="7">
        <v>1</v>
      </c>
      <c r="T11" s="7">
        <v>2</v>
      </c>
      <c r="U11" s="7">
        <v>2</v>
      </c>
      <c r="V11" s="7">
        <v>1</v>
      </c>
      <c r="W11" s="7">
        <v>1</v>
      </c>
      <c r="X11" s="7">
        <v>10</v>
      </c>
      <c r="Y11" s="7">
        <v>1</v>
      </c>
      <c r="Z11" s="8">
        <v>2</v>
      </c>
      <c r="AA11" s="8">
        <v>1</v>
      </c>
      <c r="AB11" s="8">
        <v>1</v>
      </c>
      <c r="AC11" s="7">
        <v>1</v>
      </c>
      <c r="AD11" s="8">
        <v>1</v>
      </c>
      <c r="AE11" s="8">
        <v>1</v>
      </c>
      <c r="AF11" s="8">
        <v>1</v>
      </c>
      <c r="AG11" s="7">
        <v>2</v>
      </c>
      <c r="AH11" s="8"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</row>
    <row r="12" ht="14.85" customHeight="1" spans="1:69">
      <c r="A12" s="6" t="s">
        <v>145</v>
      </c>
      <c r="B12" s="9" t="s">
        <v>158</v>
      </c>
      <c r="C12" s="6" t="s">
        <v>149</v>
      </c>
      <c r="D12" s="6">
        <v>156</v>
      </c>
      <c r="E12" s="6">
        <v>2</v>
      </c>
      <c r="F12" s="6">
        <v>2</v>
      </c>
      <c r="G12" s="6">
        <v>1</v>
      </c>
      <c r="H12" s="7">
        <v>1</v>
      </c>
      <c r="I12" s="7">
        <v>2</v>
      </c>
      <c r="J12" s="7">
        <v>1</v>
      </c>
      <c r="K12" s="7">
        <v>1</v>
      </c>
      <c r="L12" s="7">
        <v>66</v>
      </c>
      <c r="M12" s="7">
        <v>1</v>
      </c>
      <c r="N12" s="7">
        <v>0</v>
      </c>
      <c r="O12" s="7">
        <v>1</v>
      </c>
      <c r="P12" s="7">
        <v>1</v>
      </c>
      <c r="Q12" s="7">
        <v>5</v>
      </c>
      <c r="R12" s="7">
        <v>1</v>
      </c>
      <c r="S12" s="7">
        <v>1</v>
      </c>
      <c r="T12" s="7">
        <v>2</v>
      </c>
      <c r="U12" s="7">
        <v>2</v>
      </c>
      <c r="V12" s="7">
        <v>1</v>
      </c>
      <c r="W12" s="8">
        <v>1</v>
      </c>
      <c r="X12" s="7">
        <v>10</v>
      </c>
      <c r="Y12" s="7">
        <v>1</v>
      </c>
      <c r="Z12" s="8">
        <v>2</v>
      </c>
      <c r="AA12" s="8">
        <v>1</v>
      </c>
      <c r="AB12" s="8">
        <v>1</v>
      </c>
      <c r="AC12" s="7">
        <v>1</v>
      </c>
      <c r="AD12" s="8">
        <v>1</v>
      </c>
      <c r="AE12" s="8">
        <v>1</v>
      </c>
      <c r="AF12" s="8">
        <v>1</v>
      </c>
      <c r="AG12" s="7">
        <v>4</v>
      </c>
      <c r="AH12" s="8">
        <v>1</v>
      </c>
      <c r="AI12" s="7">
        <v>1</v>
      </c>
      <c r="AJ12" s="7">
        <v>1</v>
      </c>
      <c r="AK12" s="7">
        <v>0</v>
      </c>
      <c r="AL12" s="7">
        <v>0</v>
      </c>
      <c r="AM12" s="7">
        <v>0</v>
      </c>
      <c r="AN12" s="7">
        <v>2</v>
      </c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</row>
    <row r="13" ht="14.85" customHeight="1" spans="1:69">
      <c r="A13" s="6" t="s">
        <v>145</v>
      </c>
      <c r="B13" s="6" t="s">
        <v>159</v>
      </c>
      <c r="C13" s="6" t="s">
        <v>153</v>
      </c>
      <c r="D13" s="6">
        <v>3444</v>
      </c>
      <c r="E13" s="6">
        <v>5</v>
      </c>
      <c r="F13" s="6">
        <v>6</v>
      </c>
      <c r="G13" s="6">
        <v>2</v>
      </c>
      <c r="H13" s="7">
        <v>2</v>
      </c>
      <c r="I13" s="7">
        <v>5</v>
      </c>
      <c r="J13" s="7">
        <v>2</v>
      </c>
      <c r="K13" s="7">
        <v>3</v>
      </c>
      <c r="L13" s="7">
        <v>3502</v>
      </c>
      <c r="M13" s="7">
        <v>2</v>
      </c>
      <c r="N13" s="7">
        <v>1</v>
      </c>
      <c r="O13" s="7">
        <v>10</v>
      </c>
      <c r="P13" s="7">
        <v>13</v>
      </c>
      <c r="Q13" s="7">
        <v>10</v>
      </c>
      <c r="R13" s="7">
        <v>2</v>
      </c>
      <c r="S13" s="7">
        <v>1</v>
      </c>
      <c r="T13" s="7">
        <v>42</v>
      </c>
      <c r="U13" s="7">
        <v>10</v>
      </c>
      <c r="V13" s="7">
        <v>1</v>
      </c>
      <c r="W13" s="8">
        <v>35</v>
      </c>
      <c r="X13" s="7">
        <v>210</v>
      </c>
      <c r="Y13" s="7">
        <v>1</v>
      </c>
      <c r="Z13" s="8">
        <v>32</v>
      </c>
      <c r="AA13" s="8">
        <v>1</v>
      </c>
      <c r="AB13" s="8">
        <v>1</v>
      </c>
      <c r="AC13" s="7">
        <v>1</v>
      </c>
      <c r="AD13" s="8">
        <v>1</v>
      </c>
      <c r="AE13" s="8">
        <v>1</v>
      </c>
      <c r="AF13" s="8">
        <v>1</v>
      </c>
      <c r="AG13" s="7">
        <v>42</v>
      </c>
      <c r="AH13" s="8">
        <v>1</v>
      </c>
      <c r="AI13" s="7">
        <v>21</v>
      </c>
      <c r="AJ13" s="7">
        <v>1</v>
      </c>
      <c r="AK13" s="7">
        <v>1</v>
      </c>
      <c r="AL13" s="7">
        <v>2</v>
      </c>
      <c r="AM13" s="7">
        <v>2</v>
      </c>
      <c r="AN13" s="7">
        <v>35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</row>
    <row r="14" ht="14.85" customHeight="1" spans="1:69">
      <c r="A14" s="6" t="s">
        <v>145</v>
      </c>
      <c r="B14" s="9" t="s">
        <v>160</v>
      </c>
      <c r="C14" s="6" t="s">
        <v>149</v>
      </c>
      <c r="D14" s="6">
        <v>37</v>
      </c>
      <c r="E14" s="6">
        <v>2</v>
      </c>
      <c r="F14" s="6">
        <v>2</v>
      </c>
      <c r="G14" s="6">
        <v>1</v>
      </c>
      <c r="H14" s="7">
        <v>1</v>
      </c>
      <c r="I14" s="7">
        <v>2</v>
      </c>
      <c r="J14" s="7">
        <v>0</v>
      </c>
      <c r="K14" s="7">
        <v>1</v>
      </c>
      <c r="L14" s="7">
        <v>40</v>
      </c>
      <c r="M14" s="7">
        <v>1</v>
      </c>
      <c r="N14" s="7">
        <v>0</v>
      </c>
      <c r="O14" s="7">
        <v>5</v>
      </c>
      <c r="P14" s="7">
        <v>1</v>
      </c>
      <c r="Q14" s="7">
        <v>5</v>
      </c>
      <c r="R14" s="7">
        <v>1</v>
      </c>
      <c r="S14" s="7">
        <v>1</v>
      </c>
      <c r="T14" s="7">
        <v>2</v>
      </c>
      <c r="U14" s="7">
        <v>0</v>
      </c>
      <c r="V14" s="7">
        <v>1</v>
      </c>
      <c r="W14" s="8">
        <v>1</v>
      </c>
      <c r="X14" s="7">
        <v>10</v>
      </c>
      <c r="Y14" s="7">
        <v>1</v>
      </c>
      <c r="Z14" s="8">
        <v>0</v>
      </c>
      <c r="AA14" s="8">
        <v>1</v>
      </c>
      <c r="AB14" s="8">
        <v>1</v>
      </c>
      <c r="AC14" s="7">
        <v>1</v>
      </c>
      <c r="AD14" s="8">
        <v>1</v>
      </c>
      <c r="AE14" s="8">
        <v>1</v>
      </c>
      <c r="AF14" s="8">
        <v>1</v>
      </c>
      <c r="AG14" s="7">
        <v>0</v>
      </c>
      <c r="AH14" s="8">
        <v>2</v>
      </c>
      <c r="AI14" s="7">
        <v>0</v>
      </c>
      <c r="AJ14" s="7">
        <v>1</v>
      </c>
      <c r="AK14" s="7">
        <v>0</v>
      </c>
      <c r="AL14" s="7">
        <v>0</v>
      </c>
      <c r="AM14" s="7">
        <v>0</v>
      </c>
      <c r="AN14" s="7">
        <v>1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</row>
    <row r="15" ht="14.85" customHeight="1" spans="1:69">
      <c r="A15" s="6" t="s">
        <v>145</v>
      </c>
      <c r="B15" s="9" t="s">
        <v>161</v>
      </c>
      <c r="C15" s="6" t="s">
        <v>149</v>
      </c>
      <c r="D15" s="6">
        <v>114</v>
      </c>
      <c r="E15" s="6">
        <v>2</v>
      </c>
      <c r="F15" s="6">
        <v>2</v>
      </c>
      <c r="G15" s="6">
        <v>1</v>
      </c>
      <c r="H15" s="7">
        <v>1</v>
      </c>
      <c r="I15" s="7">
        <v>0</v>
      </c>
      <c r="J15" s="7">
        <v>1</v>
      </c>
      <c r="K15" s="7">
        <v>1</v>
      </c>
      <c r="L15" s="7">
        <v>110</v>
      </c>
      <c r="M15" s="7">
        <v>1</v>
      </c>
      <c r="N15" s="7">
        <v>0</v>
      </c>
      <c r="O15" s="7">
        <v>0</v>
      </c>
      <c r="P15" s="7">
        <v>1</v>
      </c>
      <c r="Q15" s="7">
        <v>5</v>
      </c>
      <c r="R15" s="7">
        <v>1</v>
      </c>
      <c r="S15" s="7">
        <v>1</v>
      </c>
      <c r="T15" s="7">
        <v>2</v>
      </c>
      <c r="U15" s="7">
        <v>1</v>
      </c>
      <c r="V15" s="7">
        <v>1</v>
      </c>
      <c r="W15" s="8">
        <v>1</v>
      </c>
      <c r="X15" s="7">
        <v>10</v>
      </c>
      <c r="Y15" s="7">
        <v>1</v>
      </c>
      <c r="Z15" s="8">
        <v>2</v>
      </c>
      <c r="AA15" s="8">
        <v>1</v>
      </c>
      <c r="AB15" s="8">
        <v>1</v>
      </c>
      <c r="AC15" s="7">
        <v>0</v>
      </c>
      <c r="AD15" s="8">
        <v>1</v>
      </c>
      <c r="AE15" s="8">
        <v>1</v>
      </c>
      <c r="AF15" s="8">
        <v>1</v>
      </c>
      <c r="AG15" s="7">
        <v>0</v>
      </c>
      <c r="AH15" s="8">
        <v>1</v>
      </c>
      <c r="AI15" s="7">
        <v>0</v>
      </c>
      <c r="AJ15" s="7">
        <v>1</v>
      </c>
      <c r="AK15" s="7">
        <v>0</v>
      </c>
      <c r="AL15" s="7">
        <v>0</v>
      </c>
      <c r="AM15" s="7">
        <v>0</v>
      </c>
      <c r="AN15" s="7">
        <v>2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</row>
    <row r="16" ht="14.85" customHeight="1" spans="1:69">
      <c r="A16" s="9" t="s">
        <v>151</v>
      </c>
      <c r="B16" s="9" t="s">
        <v>162</v>
      </c>
      <c r="C16" s="6" t="s">
        <v>149</v>
      </c>
      <c r="D16" s="6">
        <v>40</v>
      </c>
      <c r="E16" s="6">
        <v>2</v>
      </c>
      <c r="F16" s="6">
        <v>2</v>
      </c>
      <c r="G16" s="6">
        <v>1</v>
      </c>
      <c r="H16" s="7">
        <v>1</v>
      </c>
      <c r="I16" s="7">
        <v>2</v>
      </c>
      <c r="J16" s="7">
        <v>1</v>
      </c>
      <c r="K16" s="7">
        <v>1</v>
      </c>
      <c r="L16" s="7">
        <v>40</v>
      </c>
      <c r="M16" s="7">
        <v>1</v>
      </c>
      <c r="N16" s="7">
        <v>0</v>
      </c>
      <c r="O16" s="7">
        <v>5</v>
      </c>
      <c r="P16" s="7">
        <v>1</v>
      </c>
      <c r="Q16" s="7">
        <v>5</v>
      </c>
      <c r="R16" s="7">
        <v>1</v>
      </c>
      <c r="S16" s="7">
        <v>1</v>
      </c>
      <c r="T16" s="7">
        <v>2</v>
      </c>
      <c r="U16" s="7">
        <v>2</v>
      </c>
      <c r="V16" s="7">
        <v>1</v>
      </c>
      <c r="W16" s="7">
        <v>1</v>
      </c>
      <c r="X16" s="7">
        <v>10</v>
      </c>
      <c r="Y16" s="7">
        <v>1</v>
      </c>
      <c r="Z16" s="8">
        <v>2</v>
      </c>
      <c r="AA16" s="8">
        <v>1</v>
      </c>
      <c r="AB16" s="8">
        <v>1</v>
      </c>
      <c r="AC16" s="7">
        <v>1</v>
      </c>
      <c r="AD16" s="8">
        <v>1</v>
      </c>
      <c r="AE16" s="8">
        <v>1</v>
      </c>
      <c r="AF16" s="8">
        <v>1</v>
      </c>
      <c r="AG16" s="7">
        <v>2</v>
      </c>
      <c r="AH16" s="8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</row>
    <row r="17" ht="14.85" customHeight="1" spans="1:69">
      <c r="A17" s="6" t="s">
        <v>145</v>
      </c>
      <c r="B17" s="9" t="s">
        <v>163</v>
      </c>
      <c r="C17" s="6" t="s">
        <v>149</v>
      </c>
      <c r="D17" s="6">
        <v>62</v>
      </c>
      <c r="E17" s="6">
        <v>2</v>
      </c>
      <c r="F17" s="6">
        <v>2</v>
      </c>
      <c r="G17" s="6">
        <v>1</v>
      </c>
      <c r="H17" s="7">
        <v>0</v>
      </c>
      <c r="I17" s="7">
        <v>0</v>
      </c>
      <c r="J17" s="7">
        <v>0</v>
      </c>
      <c r="K17" s="7">
        <v>1</v>
      </c>
      <c r="L17" s="7">
        <v>56</v>
      </c>
      <c r="M17" s="7">
        <v>0</v>
      </c>
      <c r="N17" s="7">
        <v>0</v>
      </c>
      <c r="O17" s="7">
        <v>2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8">
        <v>0</v>
      </c>
      <c r="X17" s="7">
        <v>5</v>
      </c>
      <c r="Y17" s="7">
        <v>1</v>
      </c>
      <c r="Z17" s="8">
        <v>2</v>
      </c>
      <c r="AA17" s="8">
        <v>1</v>
      </c>
      <c r="AB17" s="8">
        <v>1</v>
      </c>
      <c r="AC17" s="7">
        <v>0</v>
      </c>
      <c r="AD17" s="8">
        <v>1</v>
      </c>
      <c r="AE17" s="8">
        <v>1</v>
      </c>
      <c r="AF17" s="8">
        <v>1</v>
      </c>
      <c r="AG17" s="7">
        <v>4</v>
      </c>
      <c r="AH17" s="8">
        <v>0</v>
      </c>
      <c r="AI17" s="7">
        <v>0</v>
      </c>
      <c r="AJ17" s="7">
        <v>1</v>
      </c>
      <c r="AK17" s="7">
        <v>0</v>
      </c>
      <c r="AL17" s="7">
        <v>0</v>
      </c>
      <c r="AM17" s="7">
        <v>0</v>
      </c>
      <c r="AN17" s="7">
        <v>1</v>
      </c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</row>
    <row r="18" ht="14.85" customHeight="1" spans="1:69">
      <c r="A18" s="6" t="s">
        <v>145</v>
      </c>
      <c r="B18" s="9" t="s">
        <v>164</v>
      </c>
      <c r="C18" s="6" t="s">
        <v>149</v>
      </c>
      <c r="D18" s="6">
        <v>66</v>
      </c>
      <c r="E18" s="6">
        <v>2</v>
      </c>
      <c r="F18" s="6">
        <v>2</v>
      </c>
      <c r="G18" s="6">
        <v>1</v>
      </c>
      <c r="H18" s="7">
        <v>1</v>
      </c>
      <c r="I18" s="7">
        <v>2</v>
      </c>
      <c r="J18" s="7">
        <v>1</v>
      </c>
      <c r="K18" s="7">
        <v>1</v>
      </c>
      <c r="L18" s="7">
        <v>77</v>
      </c>
      <c r="M18" s="7">
        <v>1</v>
      </c>
      <c r="N18" s="7">
        <v>0</v>
      </c>
      <c r="O18" s="7">
        <v>5</v>
      </c>
      <c r="P18" s="7">
        <v>1</v>
      </c>
      <c r="Q18" s="7">
        <v>7</v>
      </c>
      <c r="R18" s="7">
        <v>1</v>
      </c>
      <c r="S18" s="7">
        <v>1</v>
      </c>
      <c r="T18" s="7">
        <v>2</v>
      </c>
      <c r="U18" s="7">
        <v>1</v>
      </c>
      <c r="V18" s="7">
        <v>1</v>
      </c>
      <c r="W18" s="8">
        <v>2</v>
      </c>
      <c r="X18" s="7">
        <v>5</v>
      </c>
      <c r="Y18" s="7">
        <v>1</v>
      </c>
      <c r="Z18" s="8">
        <v>2</v>
      </c>
      <c r="AA18" s="8">
        <v>1</v>
      </c>
      <c r="AB18" s="8">
        <v>1</v>
      </c>
      <c r="AC18" s="7">
        <v>1</v>
      </c>
      <c r="AD18" s="8">
        <v>1</v>
      </c>
      <c r="AE18" s="8">
        <v>1</v>
      </c>
      <c r="AF18" s="8">
        <v>1</v>
      </c>
      <c r="AG18" s="7">
        <v>2</v>
      </c>
      <c r="AH18" s="8">
        <v>1</v>
      </c>
      <c r="AI18" s="7">
        <v>1</v>
      </c>
      <c r="AJ18" s="7">
        <v>1</v>
      </c>
      <c r="AK18" s="7">
        <v>1</v>
      </c>
      <c r="AL18" s="7">
        <v>0</v>
      </c>
      <c r="AM18" s="7">
        <v>0</v>
      </c>
      <c r="AN18" s="7">
        <v>1</v>
      </c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</row>
    <row r="19" ht="14.85" customHeight="1" spans="1:69">
      <c r="A19" s="6" t="s">
        <v>145</v>
      </c>
      <c r="B19" s="6" t="s">
        <v>165</v>
      </c>
      <c r="C19" s="6" t="s">
        <v>153</v>
      </c>
      <c r="D19" s="6">
        <v>1652</v>
      </c>
      <c r="E19" s="6">
        <v>5</v>
      </c>
      <c r="F19" s="6">
        <v>6</v>
      </c>
      <c r="G19" s="6">
        <v>2</v>
      </c>
      <c r="H19" s="7">
        <v>0</v>
      </c>
      <c r="I19" s="7">
        <v>0</v>
      </c>
      <c r="J19" s="7">
        <v>0</v>
      </c>
      <c r="K19" s="7">
        <v>0</v>
      </c>
      <c r="L19" s="7">
        <v>1600</v>
      </c>
      <c r="M19" s="7">
        <v>0</v>
      </c>
      <c r="N19" s="7">
        <v>0</v>
      </c>
      <c r="O19" s="7">
        <v>4</v>
      </c>
      <c r="P19" s="7">
        <v>8</v>
      </c>
      <c r="Q19" s="7">
        <v>10</v>
      </c>
      <c r="R19" s="7">
        <v>1</v>
      </c>
      <c r="S19" s="7">
        <v>1</v>
      </c>
      <c r="T19" s="7">
        <v>21</v>
      </c>
      <c r="U19" s="7">
        <v>9</v>
      </c>
      <c r="V19" s="7">
        <v>1</v>
      </c>
      <c r="W19" s="8">
        <v>14</v>
      </c>
      <c r="X19" s="7">
        <v>114</v>
      </c>
      <c r="Y19" s="7">
        <v>1</v>
      </c>
      <c r="Z19" s="8">
        <v>11</v>
      </c>
      <c r="AA19" s="8">
        <v>1</v>
      </c>
      <c r="AB19" s="8">
        <v>1</v>
      </c>
      <c r="AC19" s="7">
        <v>1</v>
      </c>
      <c r="AD19" s="8">
        <v>1</v>
      </c>
      <c r="AE19" s="8">
        <v>1</v>
      </c>
      <c r="AF19" s="8">
        <v>1</v>
      </c>
      <c r="AG19" s="7">
        <v>44</v>
      </c>
      <c r="AH19" s="8">
        <v>1</v>
      </c>
      <c r="AI19" s="7">
        <v>11</v>
      </c>
      <c r="AJ19" s="7">
        <v>1</v>
      </c>
      <c r="AK19" s="7">
        <v>0</v>
      </c>
      <c r="AL19" s="7">
        <v>0</v>
      </c>
      <c r="AM19" s="7">
        <v>0</v>
      </c>
      <c r="AN19" s="7">
        <v>17</v>
      </c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</row>
    <row r="20" ht="14.85" customHeight="1" spans="1:69">
      <c r="A20" s="9" t="s">
        <v>151</v>
      </c>
      <c r="B20" s="6" t="s">
        <v>166</v>
      </c>
      <c r="C20" s="6" t="s">
        <v>147</v>
      </c>
      <c r="D20" s="6">
        <v>862</v>
      </c>
      <c r="E20" s="6">
        <v>4</v>
      </c>
      <c r="F20" s="6">
        <v>4</v>
      </c>
      <c r="G20" s="6">
        <v>1</v>
      </c>
      <c r="H20" s="7">
        <v>1</v>
      </c>
      <c r="I20" s="7">
        <v>2</v>
      </c>
      <c r="J20" s="7">
        <v>1</v>
      </c>
      <c r="K20" s="7">
        <v>1</v>
      </c>
      <c r="L20" s="7">
        <v>866</v>
      </c>
      <c r="M20" s="7">
        <v>1</v>
      </c>
      <c r="N20" s="7">
        <v>1</v>
      </c>
      <c r="O20" s="7">
        <v>10</v>
      </c>
      <c r="P20" s="7">
        <v>5</v>
      </c>
      <c r="Q20" s="7">
        <v>10</v>
      </c>
      <c r="R20" s="7">
        <v>1</v>
      </c>
      <c r="S20" s="7">
        <v>1</v>
      </c>
      <c r="T20" s="7">
        <v>12</v>
      </c>
      <c r="U20" s="7">
        <v>6</v>
      </c>
      <c r="V20" s="7">
        <v>1</v>
      </c>
      <c r="W20" s="7">
        <v>1</v>
      </c>
      <c r="X20" s="7">
        <v>60</v>
      </c>
      <c r="Y20" s="7">
        <v>1</v>
      </c>
      <c r="Z20" s="8">
        <v>9</v>
      </c>
      <c r="AA20" s="8">
        <v>1</v>
      </c>
      <c r="AB20" s="8">
        <v>1</v>
      </c>
      <c r="AC20" s="7">
        <v>1</v>
      </c>
      <c r="AD20" s="8">
        <v>1</v>
      </c>
      <c r="AE20" s="8">
        <v>1</v>
      </c>
      <c r="AF20" s="8">
        <v>1</v>
      </c>
      <c r="AG20" s="7">
        <v>12</v>
      </c>
      <c r="AH20" s="8">
        <v>1</v>
      </c>
      <c r="AI20" s="7">
        <v>6</v>
      </c>
      <c r="AJ20" s="7">
        <v>1</v>
      </c>
      <c r="AK20" s="7">
        <v>1</v>
      </c>
      <c r="AL20" s="7">
        <v>1</v>
      </c>
      <c r="AM20" s="7">
        <v>1</v>
      </c>
      <c r="AN20" s="7">
        <v>9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</row>
    <row r="21" ht="14.85" customHeight="1" spans="1:69">
      <c r="A21" s="9" t="s">
        <v>151</v>
      </c>
      <c r="B21" s="9" t="s">
        <v>167</v>
      </c>
      <c r="C21" s="6" t="s">
        <v>149</v>
      </c>
      <c r="D21" s="6">
        <v>88</v>
      </c>
      <c r="E21" s="6">
        <v>2</v>
      </c>
      <c r="F21" s="6">
        <v>2</v>
      </c>
      <c r="G21" s="6">
        <v>1</v>
      </c>
      <c r="H21" s="7">
        <v>1</v>
      </c>
      <c r="I21" s="7">
        <v>2</v>
      </c>
      <c r="J21" s="7">
        <v>1</v>
      </c>
      <c r="K21" s="7">
        <v>1</v>
      </c>
      <c r="L21" s="7">
        <v>85</v>
      </c>
      <c r="M21" s="7">
        <v>1</v>
      </c>
      <c r="N21" s="7">
        <v>0</v>
      </c>
      <c r="O21" s="7">
        <v>5</v>
      </c>
      <c r="P21" s="7">
        <v>1</v>
      </c>
      <c r="Q21" s="7">
        <v>5</v>
      </c>
      <c r="R21" s="7">
        <v>1</v>
      </c>
      <c r="S21" s="7">
        <v>1</v>
      </c>
      <c r="T21" s="7">
        <v>2</v>
      </c>
      <c r="U21" s="7">
        <v>2</v>
      </c>
      <c r="V21" s="7">
        <v>1</v>
      </c>
      <c r="W21" s="7">
        <v>1</v>
      </c>
      <c r="X21" s="7">
        <v>10</v>
      </c>
      <c r="Y21" s="7">
        <v>1</v>
      </c>
      <c r="Z21" s="8">
        <v>2</v>
      </c>
      <c r="AA21" s="8">
        <v>1</v>
      </c>
      <c r="AB21" s="8">
        <v>1</v>
      </c>
      <c r="AC21" s="7">
        <v>1</v>
      </c>
      <c r="AD21" s="8">
        <v>1</v>
      </c>
      <c r="AE21" s="8">
        <v>1</v>
      </c>
      <c r="AF21" s="8">
        <v>1</v>
      </c>
      <c r="AG21" s="7">
        <v>2</v>
      </c>
      <c r="AH21" s="8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</row>
    <row r="22" ht="14.85" customHeight="1" spans="1:69">
      <c r="A22" s="6" t="s">
        <v>145</v>
      </c>
      <c r="B22" s="9" t="s">
        <v>168</v>
      </c>
      <c r="C22" s="6" t="s">
        <v>149</v>
      </c>
      <c r="D22" s="6">
        <v>56</v>
      </c>
      <c r="E22" s="6">
        <v>2</v>
      </c>
      <c r="F22" s="6">
        <v>2</v>
      </c>
      <c r="G22" s="6">
        <v>1</v>
      </c>
      <c r="H22" s="7">
        <v>1</v>
      </c>
      <c r="I22" s="7">
        <v>2</v>
      </c>
      <c r="J22" s="7">
        <v>0</v>
      </c>
      <c r="K22" s="7">
        <v>1</v>
      </c>
      <c r="L22" s="7">
        <v>56</v>
      </c>
      <c r="M22" s="7">
        <v>1</v>
      </c>
      <c r="N22" s="7">
        <v>0</v>
      </c>
      <c r="O22" s="7">
        <v>2</v>
      </c>
      <c r="P22" s="7">
        <v>1</v>
      </c>
      <c r="Q22" s="7">
        <v>4</v>
      </c>
      <c r="R22" s="7">
        <v>1</v>
      </c>
      <c r="S22" s="7">
        <v>1</v>
      </c>
      <c r="T22" s="7">
        <v>2</v>
      </c>
      <c r="U22" s="7">
        <v>1</v>
      </c>
      <c r="V22" s="7">
        <v>1</v>
      </c>
      <c r="W22" s="8">
        <v>1</v>
      </c>
      <c r="X22" s="7">
        <v>10</v>
      </c>
      <c r="Y22" s="7">
        <v>1</v>
      </c>
      <c r="Z22" s="8">
        <v>2</v>
      </c>
      <c r="AA22" s="8">
        <v>1</v>
      </c>
      <c r="AB22" s="8">
        <v>1</v>
      </c>
      <c r="AC22" s="7">
        <v>1</v>
      </c>
      <c r="AD22" s="8">
        <v>1</v>
      </c>
      <c r="AE22" s="8">
        <v>1</v>
      </c>
      <c r="AF22" s="8">
        <v>1</v>
      </c>
      <c r="AG22" s="7">
        <v>2</v>
      </c>
      <c r="AH22" s="8">
        <v>1</v>
      </c>
      <c r="AI22" s="7">
        <v>1</v>
      </c>
      <c r="AJ22" s="7">
        <v>1</v>
      </c>
      <c r="AK22" s="7">
        <v>1</v>
      </c>
      <c r="AL22" s="7">
        <v>0</v>
      </c>
      <c r="AM22" s="7">
        <v>0</v>
      </c>
      <c r="AN22" s="7">
        <v>1</v>
      </c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</row>
    <row r="23" ht="14.85" customHeight="1" spans="1:69">
      <c r="A23" s="6" t="s">
        <v>145</v>
      </c>
      <c r="B23" s="6" t="s">
        <v>169</v>
      </c>
      <c r="C23" s="6" t="s">
        <v>147</v>
      </c>
      <c r="D23" s="6">
        <v>552</v>
      </c>
      <c r="E23" s="6">
        <v>4</v>
      </c>
      <c r="F23" s="6">
        <v>4</v>
      </c>
      <c r="G23" s="6">
        <v>1</v>
      </c>
      <c r="H23" s="7">
        <v>2</v>
      </c>
      <c r="I23" s="7">
        <v>5</v>
      </c>
      <c r="J23" s="7">
        <v>1</v>
      </c>
      <c r="K23" s="7">
        <v>3</v>
      </c>
      <c r="L23" s="7">
        <v>560</v>
      </c>
      <c r="M23" s="7">
        <v>1</v>
      </c>
      <c r="N23" s="7">
        <v>1</v>
      </c>
      <c r="O23" s="7">
        <v>10</v>
      </c>
      <c r="P23" s="7">
        <v>3</v>
      </c>
      <c r="Q23" s="7">
        <v>10</v>
      </c>
      <c r="R23" s="7">
        <v>1</v>
      </c>
      <c r="S23" s="7">
        <v>1</v>
      </c>
      <c r="T23" s="7">
        <v>8</v>
      </c>
      <c r="U23" s="7">
        <v>4</v>
      </c>
      <c r="V23" s="7">
        <v>1</v>
      </c>
      <c r="W23" s="8">
        <v>6</v>
      </c>
      <c r="X23" s="7">
        <v>40</v>
      </c>
      <c r="Y23" s="7">
        <v>1</v>
      </c>
      <c r="Z23" s="8">
        <v>6</v>
      </c>
      <c r="AA23" s="8">
        <v>1</v>
      </c>
      <c r="AB23" s="8">
        <v>1</v>
      </c>
      <c r="AC23" s="7">
        <v>1</v>
      </c>
      <c r="AD23" s="8">
        <v>1</v>
      </c>
      <c r="AE23" s="8">
        <v>1</v>
      </c>
      <c r="AF23" s="8">
        <v>1</v>
      </c>
      <c r="AG23" s="7">
        <v>8</v>
      </c>
      <c r="AH23" s="8">
        <v>1</v>
      </c>
      <c r="AI23" s="7">
        <v>54</v>
      </c>
      <c r="AJ23" s="7">
        <v>1</v>
      </c>
      <c r="AK23" s="7">
        <v>1</v>
      </c>
      <c r="AL23" s="7">
        <v>1</v>
      </c>
      <c r="AM23" s="7">
        <v>1</v>
      </c>
      <c r="AN23" s="7">
        <v>6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</row>
    <row r="24" ht="14.85" customHeight="1" spans="1:69">
      <c r="A24" s="6" t="s">
        <v>145</v>
      </c>
      <c r="B24" s="9" t="s">
        <v>170</v>
      </c>
      <c r="C24" s="6" t="s">
        <v>149</v>
      </c>
      <c r="D24" s="6">
        <v>43</v>
      </c>
      <c r="E24" s="6">
        <v>2</v>
      </c>
      <c r="F24" s="6">
        <v>2</v>
      </c>
      <c r="G24" s="6">
        <v>1</v>
      </c>
      <c r="H24" s="7">
        <v>0</v>
      </c>
      <c r="I24" s="7">
        <v>0</v>
      </c>
      <c r="J24" s="7">
        <v>0</v>
      </c>
      <c r="K24" s="7">
        <v>1</v>
      </c>
      <c r="L24" s="7">
        <v>44</v>
      </c>
      <c r="M24" s="7">
        <v>0</v>
      </c>
      <c r="N24" s="7">
        <v>0</v>
      </c>
      <c r="O24" s="7">
        <v>0</v>
      </c>
      <c r="P24" s="7">
        <v>1</v>
      </c>
      <c r="Q24" s="7">
        <v>1</v>
      </c>
      <c r="R24" s="7">
        <v>1</v>
      </c>
      <c r="S24" s="7">
        <v>0</v>
      </c>
      <c r="T24" s="7">
        <v>1</v>
      </c>
      <c r="U24" s="7">
        <v>1</v>
      </c>
      <c r="V24" s="7">
        <v>1</v>
      </c>
      <c r="W24" s="8">
        <v>1</v>
      </c>
      <c r="X24" s="7">
        <v>0</v>
      </c>
      <c r="Y24" s="7">
        <v>0</v>
      </c>
      <c r="Z24" s="8">
        <v>0</v>
      </c>
      <c r="AA24" s="8">
        <v>0</v>
      </c>
      <c r="AB24" s="8">
        <v>0</v>
      </c>
      <c r="AC24" s="7">
        <v>0</v>
      </c>
      <c r="AD24" s="8">
        <v>1</v>
      </c>
      <c r="AE24" s="8">
        <v>0</v>
      </c>
      <c r="AF24" s="8">
        <v>0</v>
      </c>
      <c r="AG24" s="7">
        <v>0</v>
      </c>
      <c r="AH24" s="8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1</v>
      </c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</row>
    <row r="25" ht="14.85" customHeight="1" spans="1:69">
      <c r="A25" s="6" t="s">
        <v>145</v>
      </c>
      <c r="B25" s="9" t="s">
        <v>171</v>
      </c>
      <c r="C25" s="6" t="s">
        <v>149</v>
      </c>
      <c r="D25" s="6">
        <v>263</v>
      </c>
      <c r="E25" s="6">
        <v>2</v>
      </c>
      <c r="F25" s="6">
        <v>2</v>
      </c>
      <c r="G25" s="6">
        <v>1</v>
      </c>
      <c r="H25" s="7">
        <v>1</v>
      </c>
      <c r="I25" s="7">
        <v>2</v>
      </c>
      <c r="J25" s="7">
        <v>1</v>
      </c>
      <c r="K25" s="7">
        <v>1</v>
      </c>
      <c r="L25" s="7">
        <v>263</v>
      </c>
      <c r="M25" s="7">
        <v>1</v>
      </c>
      <c r="N25" s="7">
        <v>0</v>
      </c>
      <c r="O25" s="7">
        <v>0</v>
      </c>
      <c r="P25" s="7">
        <v>1</v>
      </c>
      <c r="Q25" s="7">
        <v>6</v>
      </c>
      <c r="R25" s="7">
        <v>1</v>
      </c>
      <c r="S25" s="7">
        <v>0</v>
      </c>
      <c r="T25" s="7">
        <v>4</v>
      </c>
      <c r="U25" s="7">
        <v>4</v>
      </c>
      <c r="V25" s="7">
        <v>1</v>
      </c>
      <c r="W25" s="8">
        <v>2</v>
      </c>
      <c r="X25" s="7">
        <v>20</v>
      </c>
      <c r="Y25" s="7">
        <v>1</v>
      </c>
      <c r="Z25" s="8">
        <v>3</v>
      </c>
      <c r="AA25" s="8">
        <v>2</v>
      </c>
      <c r="AB25" s="8">
        <v>1</v>
      </c>
      <c r="AC25" s="7">
        <v>1</v>
      </c>
      <c r="AD25" s="8">
        <v>1</v>
      </c>
      <c r="AE25" s="8">
        <v>1</v>
      </c>
      <c r="AF25" s="8">
        <v>1</v>
      </c>
      <c r="AG25" s="7">
        <v>4</v>
      </c>
      <c r="AH25" s="8">
        <v>0</v>
      </c>
      <c r="AI25" s="7">
        <v>2</v>
      </c>
      <c r="AJ25" s="7">
        <v>1</v>
      </c>
      <c r="AK25" s="7">
        <v>1</v>
      </c>
      <c r="AL25" s="7">
        <v>0</v>
      </c>
      <c r="AM25" s="7">
        <v>0</v>
      </c>
      <c r="AN25" s="7">
        <v>3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</row>
    <row r="26" ht="14.85" customHeight="1" spans="1:69">
      <c r="A26" s="6" t="s">
        <v>145</v>
      </c>
      <c r="B26" s="9" t="s">
        <v>172</v>
      </c>
      <c r="C26" s="6" t="s">
        <v>149</v>
      </c>
      <c r="D26" s="6">
        <v>68</v>
      </c>
      <c r="E26" s="6">
        <v>2</v>
      </c>
      <c r="F26" s="6">
        <v>2</v>
      </c>
      <c r="G26" s="6">
        <v>1</v>
      </c>
      <c r="H26" s="7">
        <v>1</v>
      </c>
      <c r="I26" s="7">
        <v>2</v>
      </c>
      <c r="J26" s="7">
        <v>1</v>
      </c>
      <c r="K26" s="7">
        <v>1</v>
      </c>
      <c r="L26" s="7">
        <v>74</v>
      </c>
      <c r="M26" s="7">
        <v>0</v>
      </c>
      <c r="N26" s="7">
        <v>0</v>
      </c>
      <c r="O26" s="7">
        <v>4</v>
      </c>
      <c r="P26" s="7">
        <v>1</v>
      </c>
      <c r="Q26" s="7">
        <v>5</v>
      </c>
      <c r="R26" s="7">
        <v>1</v>
      </c>
      <c r="S26" s="7">
        <v>1</v>
      </c>
      <c r="T26" s="7">
        <v>2</v>
      </c>
      <c r="U26" s="7">
        <v>2</v>
      </c>
      <c r="V26" s="7">
        <v>1</v>
      </c>
      <c r="W26" s="8">
        <v>1</v>
      </c>
      <c r="X26" s="7">
        <v>10</v>
      </c>
      <c r="Y26" s="7">
        <v>1</v>
      </c>
      <c r="Z26" s="8">
        <v>2</v>
      </c>
      <c r="AA26" s="8">
        <v>1</v>
      </c>
      <c r="AB26" s="8">
        <v>1</v>
      </c>
      <c r="AC26" s="7">
        <v>0</v>
      </c>
      <c r="AD26" s="8">
        <v>1</v>
      </c>
      <c r="AE26" s="8">
        <v>1</v>
      </c>
      <c r="AF26" s="8">
        <v>1</v>
      </c>
      <c r="AG26" s="7">
        <v>4</v>
      </c>
      <c r="AH26" s="8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</row>
    <row r="27" ht="14.85" customHeight="1" spans="1:69">
      <c r="A27" s="6" t="s">
        <v>145</v>
      </c>
      <c r="B27" s="9" t="s">
        <v>173</v>
      </c>
      <c r="C27" s="6" t="s">
        <v>149</v>
      </c>
      <c r="D27" s="6">
        <v>61</v>
      </c>
      <c r="E27" s="6">
        <v>2</v>
      </c>
      <c r="F27" s="6">
        <v>2</v>
      </c>
      <c r="G27" s="6">
        <v>1</v>
      </c>
      <c r="H27" s="7">
        <v>1</v>
      </c>
      <c r="I27" s="7">
        <v>2</v>
      </c>
      <c r="J27" s="7">
        <v>1</v>
      </c>
      <c r="K27" s="7">
        <v>1</v>
      </c>
      <c r="L27" s="7">
        <v>56</v>
      </c>
      <c r="M27" s="7">
        <v>1</v>
      </c>
      <c r="N27" s="7">
        <v>0</v>
      </c>
      <c r="O27" s="7">
        <v>0</v>
      </c>
      <c r="P27" s="7">
        <v>1</v>
      </c>
      <c r="Q27" s="7">
        <v>1</v>
      </c>
      <c r="R27" s="7">
        <v>1</v>
      </c>
      <c r="S27" s="7">
        <v>1</v>
      </c>
      <c r="T27" s="7">
        <v>2</v>
      </c>
      <c r="U27" s="7">
        <v>2</v>
      </c>
      <c r="V27" s="7">
        <v>1</v>
      </c>
      <c r="W27" s="8">
        <v>1</v>
      </c>
      <c r="X27" s="7">
        <v>10</v>
      </c>
      <c r="Y27" s="7">
        <v>1</v>
      </c>
      <c r="Z27" s="8">
        <v>2</v>
      </c>
      <c r="AA27" s="8">
        <v>1</v>
      </c>
      <c r="AB27" s="8">
        <v>1</v>
      </c>
      <c r="AC27" s="7">
        <v>0</v>
      </c>
      <c r="AD27" s="8">
        <v>1</v>
      </c>
      <c r="AE27" s="8">
        <v>1</v>
      </c>
      <c r="AF27" s="8">
        <v>2</v>
      </c>
      <c r="AG27" s="7">
        <v>5</v>
      </c>
      <c r="AH27" s="8">
        <v>1</v>
      </c>
      <c r="AI27" s="7">
        <v>0</v>
      </c>
      <c r="AJ27" s="7">
        <v>1</v>
      </c>
      <c r="AK27" s="7">
        <v>1</v>
      </c>
      <c r="AL27" s="7">
        <v>0</v>
      </c>
      <c r="AM27" s="7">
        <v>0</v>
      </c>
      <c r="AN27" s="7">
        <v>1</v>
      </c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</row>
    <row r="28" ht="14.85" customHeight="1" spans="1:69">
      <c r="A28" s="9" t="s">
        <v>145</v>
      </c>
      <c r="B28" s="9" t="s">
        <v>174</v>
      </c>
      <c r="C28" s="6" t="s">
        <v>149</v>
      </c>
      <c r="D28" s="6">
        <v>43</v>
      </c>
      <c r="E28" s="6">
        <v>2</v>
      </c>
      <c r="F28" s="6">
        <v>2</v>
      </c>
      <c r="G28" s="6">
        <v>1</v>
      </c>
      <c r="H28" s="7">
        <v>1</v>
      </c>
      <c r="I28" s="7">
        <v>2</v>
      </c>
      <c r="J28" s="7">
        <v>1</v>
      </c>
      <c r="K28" s="7">
        <v>0</v>
      </c>
      <c r="L28" s="7">
        <v>50</v>
      </c>
      <c r="M28" s="7">
        <v>0</v>
      </c>
      <c r="N28" s="7">
        <v>0</v>
      </c>
      <c r="O28" s="7">
        <v>5</v>
      </c>
      <c r="P28" s="7">
        <v>1</v>
      </c>
      <c r="Q28" s="7">
        <v>5</v>
      </c>
      <c r="R28" s="7">
        <v>1</v>
      </c>
      <c r="S28" s="7">
        <v>0</v>
      </c>
      <c r="T28" s="7">
        <v>3</v>
      </c>
      <c r="U28" s="7">
        <v>2</v>
      </c>
      <c r="V28" s="7">
        <v>1</v>
      </c>
      <c r="W28" s="8">
        <v>1</v>
      </c>
      <c r="X28" s="7">
        <v>10</v>
      </c>
      <c r="Y28" s="7">
        <v>1</v>
      </c>
      <c r="Z28" s="8">
        <v>2</v>
      </c>
      <c r="AA28" s="8">
        <v>1</v>
      </c>
      <c r="AB28" s="8">
        <v>1</v>
      </c>
      <c r="AC28" s="7">
        <v>1</v>
      </c>
      <c r="AD28" s="8">
        <v>1</v>
      </c>
      <c r="AE28" s="8">
        <v>1</v>
      </c>
      <c r="AF28" s="8">
        <v>1</v>
      </c>
      <c r="AG28" s="7">
        <v>0</v>
      </c>
      <c r="AH28" s="8">
        <v>1</v>
      </c>
      <c r="AI28" s="7">
        <v>1</v>
      </c>
      <c r="AJ28" s="7">
        <v>1</v>
      </c>
      <c r="AK28" s="7">
        <v>0</v>
      </c>
      <c r="AL28" s="7">
        <v>0</v>
      </c>
      <c r="AM28" s="7">
        <v>0</v>
      </c>
      <c r="AN28" s="7">
        <v>1</v>
      </c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</row>
    <row r="29" ht="14.85" customHeight="1" spans="1:69">
      <c r="A29" s="6" t="s">
        <v>145</v>
      </c>
      <c r="B29" s="9" t="s">
        <v>175</v>
      </c>
      <c r="C29" s="6" t="s">
        <v>149</v>
      </c>
      <c r="D29" s="6">
        <v>66</v>
      </c>
      <c r="E29" s="6">
        <v>2</v>
      </c>
      <c r="F29" s="6">
        <v>2</v>
      </c>
      <c r="G29" s="6">
        <v>1</v>
      </c>
      <c r="H29" s="7">
        <v>1</v>
      </c>
      <c r="I29" s="7">
        <v>2</v>
      </c>
      <c r="J29" s="7">
        <v>1</v>
      </c>
      <c r="K29" s="7">
        <v>0</v>
      </c>
      <c r="L29" s="7">
        <v>60</v>
      </c>
      <c r="M29" s="7">
        <v>0</v>
      </c>
      <c r="N29" s="7">
        <v>0</v>
      </c>
      <c r="O29" s="7">
        <v>0</v>
      </c>
      <c r="P29" s="7">
        <v>5</v>
      </c>
      <c r="Q29" s="7">
        <v>5</v>
      </c>
      <c r="R29" s="7">
        <v>1</v>
      </c>
      <c r="S29" s="7">
        <v>1</v>
      </c>
      <c r="T29" s="7">
        <v>0</v>
      </c>
      <c r="U29" s="7">
        <v>2</v>
      </c>
      <c r="V29" s="7">
        <v>1</v>
      </c>
      <c r="W29" s="8">
        <v>1</v>
      </c>
      <c r="X29" s="7">
        <v>10</v>
      </c>
      <c r="Y29" s="7">
        <v>1</v>
      </c>
      <c r="Z29" s="8">
        <v>2</v>
      </c>
      <c r="AA29" s="8">
        <v>1</v>
      </c>
      <c r="AB29" s="8">
        <v>1</v>
      </c>
      <c r="AC29" s="7">
        <v>1</v>
      </c>
      <c r="AD29" s="8">
        <v>1</v>
      </c>
      <c r="AE29" s="8">
        <v>0</v>
      </c>
      <c r="AF29" s="8">
        <v>1</v>
      </c>
      <c r="AG29" s="7">
        <v>4</v>
      </c>
      <c r="AH29" s="8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</row>
    <row r="30" ht="14.85" customHeight="1" spans="1:69">
      <c r="A30" s="6" t="s">
        <v>145</v>
      </c>
      <c r="B30" s="9" t="s">
        <v>176</v>
      </c>
      <c r="C30" s="6" t="s">
        <v>149</v>
      </c>
      <c r="D30" s="6">
        <v>102</v>
      </c>
      <c r="E30" s="6">
        <v>2</v>
      </c>
      <c r="F30" s="6">
        <v>2</v>
      </c>
      <c r="G30" s="6">
        <v>1</v>
      </c>
      <c r="H30" s="7">
        <v>0</v>
      </c>
      <c r="I30" s="7">
        <v>0</v>
      </c>
      <c r="J30" s="7">
        <v>0</v>
      </c>
      <c r="K30" s="7">
        <v>0</v>
      </c>
      <c r="L30" s="7">
        <v>102</v>
      </c>
      <c r="M30" s="7">
        <v>0</v>
      </c>
      <c r="N30" s="7">
        <v>0</v>
      </c>
      <c r="O30" s="7">
        <v>5</v>
      </c>
      <c r="P30" s="7">
        <v>1</v>
      </c>
      <c r="Q30" s="7">
        <v>5</v>
      </c>
      <c r="R30" s="7">
        <v>1</v>
      </c>
      <c r="S30" s="7">
        <v>1</v>
      </c>
      <c r="T30" s="7">
        <v>2</v>
      </c>
      <c r="U30" s="7">
        <v>2</v>
      </c>
      <c r="V30" s="7">
        <v>1</v>
      </c>
      <c r="W30" s="8">
        <v>1</v>
      </c>
      <c r="X30" s="7">
        <v>10</v>
      </c>
      <c r="Y30" s="7">
        <v>1</v>
      </c>
      <c r="Z30" s="8">
        <v>2</v>
      </c>
      <c r="AA30" s="8">
        <v>1</v>
      </c>
      <c r="AB30" s="8">
        <v>1</v>
      </c>
      <c r="AC30" s="7">
        <v>1</v>
      </c>
      <c r="AD30" s="8">
        <v>1</v>
      </c>
      <c r="AE30" s="8">
        <v>1</v>
      </c>
      <c r="AF30" s="8">
        <v>1</v>
      </c>
      <c r="AG30" s="7">
        <v>2</v>
      </c>
      <c r="AH30" s="8">
        <v>1</v>
      </c>
      <c r="AI30" s="7">
        <v>1</v>
      </c>
      <c r="AJ30" s="7">
        <v>1</v>
      </c>
      <c r="AK30" s="7">
        <v>1</v>
      </c>
      <c r="AL30" s="7">
        <v>0</v>
      </c>
      <c r="AM30" s="7">
        <v>0</v>
      </c>
      <c r="AN30" s="7">
        <v>1</v>
      </c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</row>
    <row r="31" ht="14.85" customHeight="1" spans="1:69">
      <c r="A31" s="9" t="s">
        <v>151</v>
      </c>
      <c r="B31" s="6" t="s">
        <v>177</v>
      </c>
      <c r="C31" s="6" t="s">
        <v>153</v>
      </c>
      <c r="D31" s="6">
        <v>3073</v>
      </c>
      <c r="E31" s="6">
        <v>5</v>
      </c>
      <c r="F31" s="6">
        <v>6</v>
      </c>
      <c r="G31" s="6">
        <v>2</v>
      </c>
      <c r="H31" s="7">
        <v>2</v>
      </c>
      <c r="I31" s="7">
        <v>5</v>
      </c>
      <c r="J31" s="7">
        <v>2</v>
      </c>
      <c r="K31" s="7">
        <v>3</v>
      </c>
      <c r="L31" s="7">
        <v>3103</v>
      </c>
      <c r="M31" s="7">
        <v>2</v>
      </c>
      <c r="N31" s="7">
        <v>1</v>
      </c>
      <c r="O31" s="7">
        <v>10</v>
      </c>
      <c r="P31" s="7">
        <v>7</v>
      </c>
      <c r="Q31" s="7">
        <v>10</v>
      </c>
      <c r="R31" s="7">
        <v>1</v>
      </c>
      <c r="S31" s="7">
        <v>1</v>
      </c>
      <c r="T31" s="7">
        <v>44</v>
      </c>
      <c r="U31" s="7">
        <v>10</v>
      </c>
      <c r="V31" s="7">
        <v>1</v>
      </c>
      <c r="W31" s="7">
        <v>34</v>
      </c>
      <c r="X31" s="7">
        <v>220</v>
      </c>
      <c r="Y31" s="7">
        <v>1</v>
      </c>
      <c r="Z31" s="8">
        <v>33</v>
      </c>
      <c r="AA31" s="8">
        <v>1</v>
      </c>
      <c r="AB31" s="8">
        <v>1</v>
      </c>
      <c r="AC31" s="7">
        <v>1</v>
      </c>
      <c r="AD31" s="8">
        <v>1</v>
      </c>
      <c r="AE31" s="8">
        <v>1</v>
      </c>
      <c r="AF31" s="8">
        <v>1</v>
      </c>
      <c r="AG31" s="7">
        <v>44</v>
      </c>
      <c r="AH31" s="8">
        <v>1</v>
      </c>
      <c r="AI31" s="7">
        <v>22</v>
      </c>
      <c r="AJ31" s="7">
        <v>1</v>
      </c>
      <c r="AK31" s="7">
        <v>1</v>
      </c>
      <c r="AL31" s="7">
        <v>1</v>
      </c>
      <c r="AM31" s="7">
        <v>1</v>
      </c>
      <c r="AN31" s="7">
        <v>31</v>
      </c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</row>
    <row r="32" ht="14.85" customHeight="1" spans="1:69">
      <c r="A32" s="9" t="s">
        <v>151</v>
      </c>
      <c r="B32" s="9" t="s">
        <v>178</v>
      </c>
      <c r="C32" s="6" t="s">
        <v>149</v>
      </c>
      <c r="D32" s="6">
        <v>108</v>
      </c>
      <c r="E32" s="6">
        <v>2</v>
      </c>
      <c r="F32" s="6">
        <v>2</v>
      </c>
      <c r="G32" s="6">
        <v>1</v>
      </c>
      <c r="H32" s="7">
        <v>1</v>
      </c>
      <c r="I32" s="7">
        <v>2</v>
      </c>
      <c r="J32" s="7">
        <v>1</v>
      </c>
      <c r="K32" s="7">
        <v>1</v>
      </c>
      <c r="L32" s="7">
        <v>110</v>
      </c>
      <c r="M32" s="7">
        <v>1</v>
      </c>
      <c r="N32" s="7">
        <v>0</v>
      </c>
      <c r="O32" s="7">
        <v>5</v>
      </c>
      <c r="P32" s="7">
        <v>1</v>
      </c>
      <c r="Q32" s="7">
        <v>5</v>
      </c>
      <c r="R32" s="7">
        <v>1</v>
      </c>
      <c r="S32" s="7">
        <v>1</v>
      </c>
      <c r="T32" s="7">
        <v>2</v>
      </c>
      <c r="U32" s="7">
        <v>2</v>
      </c>
      <c r="V32" s="7">
        <v>1</v>
      </c>
      <c r="W32" s="7">
        <v>2</v>
      </c>
      <c r="X32" s="7">
        <v>10</v>
      </c>
      <c r="Y32" s="7">
        <v>1</v>
      </c>
      <c r="Z32" s="8">
        <v>2</v>
      </c>
      <c r="AA32" s="8">
        <v>1</v>
      </c>
      <c r="AB32" s="8">
        <v>1</v>
      </c>
      <c r="AC32" s="7">
        <v>1</v>
      </c>
      <c r="AD32" s="8">
        <v>1</v>
      </c>
      <c r="AE32" s="8">
        <v>1</v>
      </c>
      <c r="AF32" s="8">
        <v>1</v>
      </c>
      <c r="AG32" s="7">
        <v>2</v>
      </c>
      <c r="AH32" s="8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2</v>
      </c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</row>
    <row r="33" ht="14.85" customHeight="1" spans="1:69">
      <c r="A33" s="6" t="s">
        <v>145</v>
      </c>
      <c r="B33" s="6" t="s">
        <v>179</v>
      </c>
      <c r="C33" s="6" t="s">
        <v>147</v>
      </c>
      <c r="D33" s="6">
        <v>772</v>
      </c>
      <c r="E33" s="6">
        <v>4</v>
      </c>
      <c r="F33" s="6">
        <v>4</v>
      </c>
      <c r="G33" s="6">
        <v>1</v>
      </c>
      <c r="H33" s="7">
        <v>4</v>
      </c>
      <c r="I33" s="7">
        <v>1</v>
      </c>
      <c r="J33" s="7">
        <v>8</v>
      </c>
      <c r="K33" s="7">
        <v>2</v>
      </c>
      <c r="L33" s="7">
        <v>849</v>
      </c>
      <c r="M33" s="7">
        <v>2</v>
      </c>
      <c r="N33" s="7">
        <v>0</v>
      </c>
      <c r="O33" s="7">
        <v>9</v>
      </c>
      <c r="P33" s="7">
        <v>1</v>
      </c>
      <c r="Q33" s="7">
        <v>13</v>
      </c>
      <c r="R33" s="7">
        <v>3</v>
      </c>
      <c r="S33" s="7">
        <v>1</v>
      </c>
      <c r="T33" s="7">
        <v>5</v>
      </c>
      <c r="U33" s="7">
        <v>1</v>
      </c>
      <c r="V33" s="7">
        <v>1</v>
      </c>
      <c r="W33" s="8">
        <v>10</v>
      </c>
      <c r="X33" s="7">
        <v>39</v>
      </c>
      <c r="Y33" s="7">
        <v>1</v>
      </c>
      <c r="Z33" s="8">
        <v>3</v>
      </c>
      <c r="AA33" s="8">
        <v>0</v>
      </c>
      <c r="AB33" s="8">
        <v>0</v>
      </c>
      <c r="AC33" s="7">
        <v>0</v>
      </c>
      <c r="AD33" s="8">
        <v>1</v>
      </c>
      <c r="AE33" s="8">
        <v>4</v>
      </c>
      <c r="AF33" s="8">
        <v>1</v>
      </c>
      <c r="AG33" s="7">
        <v>0</v>
      </c>
      <c r="AH33" s="8">
        <v>1</v>
      </c>
      <c r="AI33" s="7">
        <v>0</v>
      </c>
      <c r="AJ33" s="7">
        <v>0</v>
      </c>
      <c r="AK33" s="7">
        <v>1</v>
      </c>
      <c r="AL33" s="7">
        <v>0</v>
      </c>
      <c r="AM33" s="7">
        <v>0</v>
      </c>
      <c r="AN33" s="7">
        <v>8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</row>
    <row r="34" ht="14.85" customHeight="1" spans="1:69">
      <c r="A34" s="6" t="s">
        <v>145</v>
      </c>
      <c r="B34" s="9" t="s">
        <v>180</v>
      </c>
      <c r="C34" s="6" t="s">
        <v>149</v>
      </c>
      <c r="D34" s="6">
        <v>51</v>
      </c>
      <c r="E34" s="6">
        <v>2</v>
      </c>
      <c r="F34" s="6">
        <v>2</v>
      </c>
      <c r="G34" s="6">
        <v>1</v>
      </c>
      <c r="H34" s="7">
        <v>0</v>
      </c>
      <c r="I34" s="7">
        <v>0</v>
      </c>
      <c r="J34" s="7">
        <v>0</v>
      </c>
      <c r="K34" s="7">
        <v>0</v>
      </c>
      <c r="L34" s="7">
        <v>49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1</v>
      </c>
      <c r="W34" s="8">
        <v>0</v>
      </c>
      <c r="X34" s="7">
        <v>0</v>
      </c>
      <c r="Y34" s="7">
        <v>0</v>
      </c>
      <c r="Z34" s="8">
        <v>0</v>
      </c>
      <c r="AA34" s="8">
        <v>0</v>
      </c>
      <c r="AB34" s="8">
        <v>0</v>
      </c>
      <c r="AC34" s="7">
        <v>0</v>
      </c>
      <c r="AD34" s="8">
        <v>1</v>
      </c>
      <c r="AE34" s="8">
        <v>0</v>
      </c>
      <c r="AF34" s="8">
        <v>0</v>
      </c>
      <c r="AG34" s="7">
        <v>0</v>
      </c>
      <c r="AH34" s="8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1</v>
      </c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</row>
    <row r="35" ht="14.85" customHeight="1" spans="1:69">
      <c r="A35" s="6" t="s">
        <v>145</v>
      </c>
      <c r="B35" s="6" t="s">
        <v>181</v>
      </c>
      <c r="C35" s="6" t="s">
        <v>153</v>
      </c>
      <c r="D35" s="6">
        <v>1013</v>
      </c>
      <c r="E35" s="6">
        <v>5</v>
      </c>
      <c r="F35" s="6">
        <v>6</v>
      </c>
      <c r="G35" s="6">
        <v>1</v>
      </c>
      <c r="H35" s="7">
        <v>2</v>
      </c>
      <c r="I35" s="7">
        <v>2</v>
      </c>
      <c r="J35" s="7">
        <v>1</v>
      </c>
      <c r="K35" s="7">
        <v>3</v>
      </c>
      <c r="L35" s="7">
        <v>1062</v>
      </c>
      <c r="M35" s="7">
        <v>1</v>
      </c>
      <c r="N35" s="7">
        <v>1</v>
      </c>
      <c r="O35" s="7">
        <v>10</v>
      </c>
      <c r="P35" s="7">
        <v>3</v>
      </c>
      <c r="Q35" s="7">
        <v>10</v>
      </c>
      <c r="R35" s="7">
        <v>1</v>
      </c>
      <c r="S35" s="7">
        <v>1</v>
      </c>
      <c r="T35" s="7">
        <v>16</v>
      </c>
      <c r="U35" s="7">
        <v>4</v>
      </c>
      <c r="V35" s="7">
        <v>1</v>
      </c>
      <c r="W35" s="8">
        <v>11</v>
      </c>
      <c r="X35" s="7">
        <v>80</v>
      </c>
      <c r="Y35" s="7">
        <v>1</v>
      </c>
      <c r="Z35" s="8">
        <v>12</v>
      </c>
      <c r="AA35" s="8">
        <v>1</v>
      </c>
      <c r="AB35" s="8">
        <v>1</v>
      </c>
      <c r="AC35" s="7">
        <v>1</v>
      </c>
      <c r="AD35" s="8">
        <v>1</v>
      </c>
      <c r="AE35" s="8">
        <v>1</v>
      </c>
      <c r="AF35" s="8">
        <v>1</v>
      </c>
      <c r="AG35" s="7">
        <v>16</v>
      </c>
      <c r="AH35" s="8">
        <v>1</v>
      </c>
      <c r="AI35" s="7">
        <v>8</v>
      </c>
      <c r="AJ35" s="7">
        <v>1</v>
      </c>
      <c r="AK35" s="7">
        <v>1</v>
      </c>
      <c r="AL35" s="7">
        <v>1</v>
      </c>
      <c r="AM35" s="7">
        <v>1</v>
      </c>
      <c r="AN35" s="7">
        <v>11</v>
      </c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</row>
    <row r="36" ht="14.85" customHeight="1" spans="1:69">
      <c r="A36" s="6" t="s">
        <v>145</v>
      </c>
      <c r="B36" s="9" t="s">
        <v>182</v>
      </c>
      <c r="C36" s="6" t="s">
        <v>149</v>
      </c>
      <c r="D36" s="6">
        <v>128</v>
      </c>
      <c r="E36" s="6">
        <v>2</v>
      </c>
      <c r="F36" s="6">
        <v>2</v>
      </c>
      <c r="G36" s="6">
        <v>1</v>
      </c>
      <c r="H36" s="7">
        <v>1</v>
      </c>
      <c r="I36" s="7">
        <v>2</v>
      </c>
      <c r="J36" s="7">
        <v>1</v>
      </c>
      <c r="K36" s="7">
        <v>1</v>
      </c>
      <c r="L36" s="7">
        <v>123</v>
      </c>
      <c r="M36" s="7">
        <v>1</v>
      </c>
      <c r="N36" s="7">
        <v>0</v>
      </c>
      <c r="O36" s="7">
        <v>5</v>
      </c>
      <c r="P36" s="7">
        <v>1</v>
      </c>
      <c r="Q36" s="7">
        <v>5</v>
      </c>
      <c r="R36" s="7">
        <v>1</v>
      </c>
      <c r="S36" s="7">
        <v>1</v>
      </c>
      <c r="T36" s="7">
        <v>2</v>
      </c>
      <c r="U36" s="7">
        <v>2</v>
      </c>
      <c r="V36" s="7">
        <v>1</v>
      </c>
      <c r="W36" s="8">
        <v>1</v>
      </c>
      <c r="X36" s="7">
        <v>10</v>
      </c>
      <c r="Y36" s="7">
        <v>1</v>
      </c>
      <c r="Z36" s="8">
        <v>2</v>
      </c>
      <c r="AA36" s="8">
        <v>1</v>
      </c>
      <c r="AB36" s="8">
        <v>1</v>
      </c>
      <c r="AC36" s="7">
        <v>1</v>
      </c>
      <c r="AD36" s="8">
        <v>1</v>
      </c>
      <c r="AE36" s="8">
        <v>1</v>
      </c>
      <c r="AF36" s="8">
        <v>1</v>
      </c>
      <c r="AG36" s="7">
        <v>4</v>
      </c>
      <c r="AH36" s="8">
        <v>1</v>
      </c>
      <c r="AI36" s="7">
        <v>1</v>
      </c>
      <c r="AJ36" s="7">
        <v>1</v>
      </c>
      <c r="AK36" s="7">
        <v>0</v>
      </c>
      <c r="AL36" s="7">
        <v>0</v>
      </c>
      <c r="AM36" s="7">
        <v>0</v>
      </c>
      <c r="AN36" s="7">
        <v>2</v>
      </c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</row>
    <row r="37" ht="14.85" customHeight="1" spans="1:69">
      <c r="A37" s="6" t="s">
        <v>145</v>
      </c>
      <c r="B37" s="9" t="s">
        <v>183</v>
      </c>
      <c r="C37" s="6" t="s">
        <v>149</v>
      </c>
      <c r="D37" s="6">
        <v>49</v>
      </c>
      <c r="E37" s="6">
        <v>2</v>
      </c>
      <c r="F37" s="6">
        <v>2</v>
      </c>
      <c r="G37" s="6">
        <v>1</v>
      </c>
      <c r="H37" s="7">
        <v>1</v>
      </c>
      <c r="I37" s="7">
        <v>2</v>
      </c>
      <c r="J37" s="7">
        <v>1</v>
      </c>
      <c r="K37" s="7">
        <v>1</v>
      </c>
      <c r="L37" s="7">
        <v>49</v>
      </c>
      <c r="M37" s="7">
        <v>1</v>
      </c>
      <c r="N37" s="7">
        <v>0</v>
      </c>
      <c r="O37" s="7">
        <v>5</v>
      </c>
      <c r="P37" s="7">
        <v>1</v>
      </c>
      <c r="Q37" s="7">
        <v>5</v>
      </c>
      <c r="R37" s="7">
        <v>1</v>
      </c>
      <c r="S37" s="7">
        <v>1</v>
      </c>
      <c r="T37" s="7">
        <v>2</v>
      </c>
      <c r="U37" s="7">
        <v>1</v>
      </c>
      <c r="V37" s="7">
        <v>1</v>
      </c>
      <c r="W37" s="8">
        <v>1</v>
      </c>
      <c r="X37" s="7">
        <v>10</v>
      </c>
      <c r="Y37" s="7">
        <v>1</v>
      </c>
      <c r="Z37" s="8">
        <v>2</v>
      </c>
      <c r="AA37" s="8">
        <v>1</v>
      </c>
      <c r="AB37" s="8">
        <v>1</v>
      </c>
      <c r="AC37" s="7">
        <v>1</v>
      </c>
      <c r="AD37" s="8">
        <v>1</v>
      </c>
      <c r="AE37" s="8">
        <v>1</v>
      </c>
      <c r="AF37" s="8">
        <v>1</v>
      </c>
      <c r="AG37" s="7">
        <v>4</v>
      </c>
      <c r="AH37" s="8">
        <v>1</v>
      </c>
      <c r="AI37" s="7">
        <v>0</v>
      </c>
      <c r="AJ37" s="7">
        <v>1</v>
      </c>
      <c r="AK37" s="7">
        <v>0</v>
      </c>
      <c r="AL37" s="7">
        <v>0</v>
      </c>
      <c r="AM37" s="7">
        <v>0</v>
      </c>
      <c r="AN37" s="7">
        <v>1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</row>
    <row r="38" ht="14.85" customHeight="1" spans="1:69">
      <c r="A38" s="6" t="s">
        <v>145</v>
      </c>
      <c r="B38" s="9" t="s">
        <v>184</v>
      </c>
      <c r="C38" s="6" t="s">
        <v>149</v>
      </c>
      <c r="D38" s="6">
        <v>73</v>
      </c>
      <c r="E38" s="6">
        <v>2</v>
      </c>
      <c r="F38" s="6">
        <v>2</v>
      </c>
      <c r="G38" s="6">
        <v>1</v>
      </c>
      <c r="H38" s="7">
        <v>1</v>
      </c>
      <c r="I38" s="7">
        <v>0</v>
      </c>
      <c r="J38" s="7">
        <v>0</v>
      </c>
      <c r="K38" s="7">
        <v>1</v>
      </c>
      <c r="L38" s="7">
        <v>73</v>
      </c>
      <c r="M38" s="7">
        <v>1</v>
      </c>
      <c r="N38" s="7">
        <v>0</v>
      </c>
      <c r="O38" s="7">
        <v>5</v>
      </c>
      <c r="P38" s="7">
        <v>1</v>
      </c>
      <c r="Q38" s="7">
        <v>5</v>
      </c>
      <c r="R38" s="7">
        <v>1</v>
      </c>
      <c r="S38" s="7">
        <v>1</v>
      </c>
      <c r="T38" s="7">
        <v>2</v>
      </c>
      <c r="U38" s="7">
        <v>2</v>
      </c>
      <c r="V38" s="7">
        <v>1</v>
      </c>
      <c r="W38" s="8">
        <v>1</v>
      </c>
      <c r="X38" s="7">
        <v>12</v>
      </c>
      <c r="Y38" s="7">
        <v>1</v>
      </c>
      <c r="Z38" s="8">
        <v>2</v>
      </c>
      <c r="AA38" s="8">
        <v>1</v>
      </c>
      <c r="AB38" s="8">
        <v>1</v>
      </c>
      <c r="AC38" s="7">
        <v>1</v>
      </c>
      <c r="AD38" s="8">
        <v>1</v>
      </c>
      <c r="AE38" s="8">
        <v>1</v>
      </c>
      <c r="AF38" s="8">
        <v>1</v>
      </c>
      <c r="AG38" s="7">
        <v>3</v>
      </c>
      <c r="AH38" s="8">
        <v>1</v>
      </c>
      <c r="AI38" s="7">
        <v>1</v>
      </c>
      <c r="AJ38" s="7">
        <v>1</v>
      </c>
      <c r="AK38" s="7">
        <v>0</v>
      </c>
      <c r="AL38" s="7">
        <v>1</v>
      </c>
      <c r="AM38" s="7">
        <v>1</v>
      </c>
      <c r="AN38" s="7">
        <v>1</v>
      </c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</row>
    <row r="39" ht="14.85" customHeight="1" spans="1:69">
      <c r="A39" s="9" t="s">
        <v>145</v>
      </c>
      <c r="B39" s="9" t="s">
        <v>185</v>
      </c>
      <c r="C39" s="6" t="s">
        <v>149</v>
      </c>
      <c r="D39" s="6">
        <v>231</v>
      </c>
      <c r="E39" s="6">
        <v>2</v>
      </c>
      <c r="F39" s="6">
        <v>2</v>
      </c>
      <c r="G39" s="6">
        <v>1</v>
      </c>
      <c r="H39" s="7">
        <v>1</v>
      </c>
      <c r="I39" s="7">
        <v>2</v>
      </c>
      <c r="J39" s="7">
        <v>1</v>
      </c>
      <c r="K39" s="7">
        <v>0</v>
      </c>
      <c r="L39" s="7">
        <v>232</v>
      </c>
      <c r="M39" s="7">
        <v>1</v>
      </c>
      <c r="N39" s="7">
        <v>0</v>
      </c>
      <c r="O39" s="7">
        <v>7</v>
      </c>
      <c r="P39" s="7">
        <v>1</v>
      </c>
      <c r="Q39" s="7">
        <v>7</v>
      </c>
      <c r="R39" s="7">
        <v>3</v>
      </c>
      <c r="S39" s="7">
        <v>1</v>
      </c>
      <c r="T39" s="7">
        <v>4</v>
      </c>
      <c r="U39" s="7">
        <v>2</v>
      </c>
      <c r="V39" s="7">
        <v>1</v>
      </c>
      <c r="W39" s="8">
        <v>2</v>
      </c>
      <c r="X39" s="7">
        <v>10</v>
      </c>
      <c r="Y39" s="7">
        <v>1</v>
      </c>
      <c r="Z39" s="8">
        <v>3</v>
      </c>
      <c r="AA39" s="8">
        <v>1</v>
      </c>
      <c r="AB39" s="8">
        <v>1</v>
      </c>
      <c r="AC39" s="7">
        <v>1</v>
      </c>
      <c r="AD39" s="8">
        <v>1</v>
      </c>
      <c r="AE39" s="8">
        <v>1</v>
      </c>
      <c r="AF39" s="8">
        <v>0</v>
      </c>
      <c r="AG39" s="7">
        <v>6</v>
      </c>
      <c r="AH39" s="8">
        <v>2</v>
      </c>
      <c r="AI39" s="7">
        <v>0</v>
      </c>
      <c r="AJ39" s="7">
        <v>1</v>
      </c>
      <c r="AK39" s="7">
        <v>0</v>
      </c>
      <c r="AL39" s="7">
        <v>1</v>
      </c>
      <c r="AM39" s="7">
        <v>1</v>
      </c>
      <c r="AN39" s="7">
        <v>3</v>
      </c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</row>
    <row r="40" ht="14.85" customHeight="1" spans="1:69">
      <c r="A40" s="9" t="s">
        <v>151</v>
      </c>
      <c r="B40" s="9" t="s">
        <v>186</v>
      </c>
      <c r="C40" s="6" t="s">
        <v>149</v>
      </c>
      <c r="D40" s="6">
        <v>204</v>
      </c>
      <c r="E40" s="6">
        <v>2</v>
      </c>
      <c r="F40" s="6">
        <v>2</v>
      </c>
      <c r="G40" s="6">
        <v>1</v>
      </c>
      <c r="H40" s="7">
        <v>1</v>
      </c>
      <c r="I40" s="7">
        <v>2</v>
      </c>
      <c r="J40" s="7">
        <v>1</v>
      </c>
      <c r="K40" s="7">
        <v>1</v>
      </c>
      <c r="L40" s="7">
        <v>203</v>
      </c>
      <c r="M40" s="7">
        <v>1</v>
      </c>
      <c r="N40" s="7">
        <v>0</v>
      </c>
      <c r="O40" s="7">
        <v>5</v>
      </c>
      <c r="P40" s="7">
        <v>1</v>
      </c>
      <c r="Q40" s="7">
        <v>5</v>
      </c>
      <c r="R40" s="7">
        <v>1</v>
      </c>
      <c r="S40" s="7">
        <v>1</v>
      </c>
      <c r="T40" s="7">
        <v>4</v>
      </c>
      <c r="U40" s="7">
        <v>2</v>
      </c>
      <c r="V40" s="7">
        <v>1</v>
      </c>
      <c r="W40" s="8">
        <v>2</v>
      </c>
      <c r="X40" s="7">
        <v>20</v>
      </c>
      <c r="Y40" s="7">
        <v>1</v>
      </c>
      <c r="Z40" s="8">
        <v>3</v>
      </c>
      <c r="AA40" s="8">
        <v>1</v>
      </c>
      <c r="AB40" s="8">
        <v>1</v>
      </c>
      <c r="AC40" s="7">
        <v>1</v>
      </c>
      <c r="AD40" s="8">
        <v>1</v>
      </c>
      <c r="AE40" s="8">
        <v>1</v>
      </c>
      <c r="AF40" s="8">
        <v>1</v>
      </c>
      <c r="AG40" s="7">
        <v>4</v>
      </c>
      <c r="AH40" s="8">
        <v>1</v>
      </c>
      <c r="AI40" s="7">
        <v>2</v>
      </c>
      <c r="AJ40" s="7">
        <v>1</v>
      </c>
      <c r="AK40" s="7">
        <v>1</v>
      </c>
      <c r="AL40" s="7">
        <v>1</v>
      </c>
      <c r="AM40" s="7">
        <v>1</v>
      </c>
      <c r="AN40" s="7">
        <v>3</v>
      </c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</row>
    <row r="41" ht="14.85" customHeight="1" spans="1:69">
      <c r="A41" s="6" t="s">
        <v>145</v>
      </c>
      <c r="B41" s="9" t="s">
        <v>187</v>
      </c>
      <c r="C41" s="6" t="s">
        <v>149</v>
      </c>
      <c r="D41" s="6">
        <v>83</v>
      </c>
      <c r="E41" s="6">
        <v>2</v>
      </c>
      <c r="F41" s="6">
        <v>2</v>
      </c>
      <c r="G41" s="6">
        <v>1</v>
      </c>
      <c r="H41" s="7">
        <v>1</v>
      </c>
      <c r="I41" s="7">
        <v>2</v>
      </c>
      <c r="J41" s="7">
        <v>0</v>
      </c>
      <c r="K41" s="7">
        <v>1</v>
      </c>
      <c r="L41" s="7">
        <v>90</v>
      </c>
      <c r="M41" s="7">
        <v>1</v>
      </c>
      <c r="N41" s="7">
        <v>0</v>
      </c>
      <c r="O41" s="7">
        <v>5</v>
      </c>
      <c r="P41" s="7">
        <v>1</v>
      </c>
      <c r="Q41" s="7">
        <v>5</v>
      </c>
      <c r="R41" s="7">
        <v>0</v>
      </c>
      <c r="S41" s="7">
        <v>0</v>
      </c>
      <c r="T41" s="7">
        <v>2</v>
      </c>
      <c r="U41" s="7">
        <v>2</v>
      </c>
      <c r="V41" s="7">
        <v>1</v>
      </c>
      <c r="W41" s="8">
        <v>1</v>
      </c>
      <c r="X41" s="7">
        <v>10</v>
      </c>
      <c r="Y41" s="7">
        <v>1</v>
      </c>
      <c r="Z41" s="8">
        <v>3</v>
      </c>
      <c r="AA41" s="8">
        <v>1</v>
      </c>
      <c r="AB41" s="8">
        <v>1</v>
      </c>
      <c r="AC41" s="7">
        <v>1</v>
      </c>
      <c r="AD41" s="8">
        <v>1</v>
      </c>
      <c r="AE41" s="8">
        <v>1</v>
      </c>
      <c r="AF41" s="8">
        <v>1</v>
      </c>
      <c r="AG41" s="7">
        <v>5</v>
      </c>
      <c r="AH41" s="8">
        <v>1</v>
      </c>
      <c r="AI41" s="7">
        <v>0</v>
      </c>
      <c r="AJ41" s="7">
        <v>1</v>
      </c>
      <c r="AK41" s="7">
        <v>0</v>
      </c>
      <c r="AL41" s="7">
        <v>0</v>
      </c>
      <c r="AM41" s="7">
        <v>0</v>
      </c>
      <c r="AN41" s="7">
        <v>1</v>
      </c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</row>
    <row r="42" ht="14.85" customHeight="1" spans="1:69">
      <c r="A42" s="9" t="s">
        <v>151</v>
      </c>
      <c r="B42" s="9" t="s">
        <v>188</v>
      </c>
      <c r="C42" s="6" t="s">
        <v>149</v>
      </c>
      <c r="D42" s="6">
        <v>93</v>
      </c>
      <c r="E42" s="6">
        <v>2</v>
      </c>
      <c r="F42" s="6">
        <v>2</v>
      </c>
      <c r="G42" s="6">
        <v>1</v>
      </c>
      <c r="H42" s="7">
        <v>1</v>
      </c>
      <c r="I42" s="7">
        <v>2</v>
      </c>
      <c r="J42" s="7">
        <v>1</v>
      </c>
      <c r="K42" s="7">
        <v>1</v>
      </c>
      <c r="L42" s="7">
        <v>96</v>
      </c>
      <c r="M42" s="7">
        <v>1</v>
      </c>
      <c r="N42" s="7">
        <v>0</v>
      </c>
      <c r="O42" s="7">
        <v>5</v>
      </c>
      <c r="P42" s="7">
        <v>1</v>
      </c>
      <c r="Q42" s="7">
        <v>5</v>
      </c>
      <c r="R42" s="7">
        <v>1</v>
      </c>
      <c r="S42" s="7">
        <v>1</v>
      </c>
      <c r="T42" s="7">
        <v>2</v>
      </c>
      <c r="U42" s="7">
        <v>2</v>
      </c>
      <c r="V42" s="7">
        <v>1</v>
      </c>
      <c r="W42" s="8">
        <v>1</v>
      </c>
      <c r="X42" s="7">
        <v>10</v>
      </c>
      <c r="Y42" s="7">
        <v>1</v>
      </c>
      <c r="Z42" s="8">
        <v>2</v>
      </c>
      <c r="AA42" s="8">
        <v>1</v>
      </c>
      <c r="AB42" s="8">
        <v>1</v>
      </c>
      <c r="AC42" s="7">
        <v>1</v>
      </c>
      <c r="AD42" s="8">
        <v>1</v>
      </c>
      <c r="AE42" s="8">
        <v>1</v>
      </c>
      <c r="AF42" s="8">
        <v>1</v>
      </c>
      <c r="AG42" s="7">
        <v>2</v>
      </c>
      <c r="AH42" s="8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</row>
    <row r="43" spans="1:69">
      <c r="A43" s="6" t="s">
        <v>145</v>
      </c>
      <c r="B43" s="6" t="s">
        <v>189</v>
      </c>
      <c r="C43" s="6" t="s">
        <v>149</v>
      </c>
      <c r="D43" s="6">
        <v>377</v>
      </c>
      <c r="E43" s="6">
        <v>5</v>
      </c>
      <c r="F43" s="6">
        <v>2</v>
      </c>
      <c r="G43" s="6">
        <v>1</v>
      </c>
      <c r="H43" s="7">
        <v>1</v>
      </c>
      <c r="I43" s="7">
        <v>2</v>
      </c>
      <c r="J43" s="7">
        <v>1</v>
      </c>
      <c r="K43" s="7">
        <v>1</v>
      </c>
      <c r="L43" s="7">
        <v>399</v>
      </c>
      <c r="M43" s="7">
        <v>1</v>
      </c>
      <c r="N43" s="7">
        <v>0</v>
      </c>
      <c r="O43" s="7">
        <v>10</v>
      </c>
      <c r="P43" s="7">
        <v>3</v>
      </c>
      <c r="Q43" s="7">
        <v>10</v>
      </c>
      <c r="R43" s="7">
        <v>1</v>
      </c>
      <c r="S43" s="7">
        <v>1</v>
      </c>
      <c r="T43" s="7">
        <v>4</v>
      </c>
      <c r="U43" s="7">
        <v>2</v>
      </c>
      <c r="V43" s="7">
        <v>1</v>
      </c>
      <c r="W43" s="8">
        <v>4</v>
      </c>
      <c r="X43" s="7">
        <v>20</v>
      </c>
      <c r="Y43" s="7">
        <v>1</v>
      </c>
      <c r="Z43" s="8">
        <v>3</v>
      </c>
      <c r="AA43" s="8">
        <v>1</v>
      </c>
      <c r="AB43" s="8">
        <v>1</v>
      </c>
      <c r="AC43" s="7">
        <v>1</v>
      </c>
      <c r="AD43" s="8">
        <v>1</v>
      </c>
      <c r="AE43" s="8">
        <v>1</v>
      </c>
      <c r="AF43" s="8">
        <v>1</v>
      </c>
      <c r="AG43" s="7">
        <v>4</v>
      </c>
      <c r="AH43" s="8">
        <v>1</v>
      </c>
      <c r="AI43" s="7">
        <v>2</v>
      </c>
      <c r="AJ43" s="7">
        <v>1</v>
      </c>
      <c r="AK43" s="7">
        <v>1</v>
      </c>
      <c r="AL43" s="7">
        <v>0</v>
      </c>
      <c r="AM43" s="7">
        <v>0</v>
      </c>
      <c r="AN43" s="7">
        <v>4</v>
      </c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</row>
    <row r="44" spans="1:69">
      <c r="A44" s="6" t="s">
        <v>145</v>
      </c>
      <c r="B44" s="6" t="s">
        <v>190</v>
      </c>
      <c r="C44" s="6" t="s">
        <v>147</v>
      </c>
      <c r="D44" s="6">
        <v>548</v>
      </c>
      <c r="E44" s="6">
        <v>4</v>
      </c>
      <c r="F44" s="6">
        <v>4</v>
      </c>
      <c r="G44" s="6">
        <v>1</v>
      </c>
      <c r="H44" s="7">
        <v>1</v>
      </c>
      <c r="I44" s="7">
        <v>2</v>
      </c>
      <c r="J44" s="7">
        <v>1</v>
      </c>
      <c r="K44" s="7">
        <v>1</v>
      </c>
      <c r="L44" s="7">
        <v>350</v>
      </c>
      <c r="M44" s="7">
        <v>1</v>
      </c>
      <c r="N44" s="7">
        <v>0</v>
      </c>
      <c r="O44" s="7">
        <v>10</v>
      </c>
      <c r="P44" s="7">
        <v>1</v>
      </c>
      <c r="Q44" s="7">
        <v>9</v>
      </c>
      <c r="R44" s="7">
        <v>1</v>
      </c>
      <c r="S44" s="7">
        <v>1</v>
      </c>
      <c r="T44" s="7">
        <v>6</v>
      </c>
      <c r="U44" s="7">
        <v>3</v>
      </c>
      <c r="V44" s="7">
        <v>1</v>
      </c>
      <c r="W44" s="8">
        <v>6</v>
      </c>
      <c r="X44" s="7">
        <v>30</v>
      </c>
      <c r="Y44" s="7">
        <v>0</v>
      </c>
      <c r="Z44" s="8">
        <v>3</v>
      </c>
      <c r="AA44" s="8">
        <v>1</v>
      </c>
      <c r="AB44" s="8">
        <v>1</v>
      </c>
      <c r="AC44" s="7">
        <v>1</v>
      </c>
      <c r="AD44" s="8">
        <v>1</v>
      </c>
      <c r="AE44" s="8">
        <v>1</v>
      </c>
      <c r="AF44" s="8">
        <v>1</v>
      </c>
      <c r="AG44" s="7">
        <v>4</v>
      </c>
      <c r="AH44" s="8">
        <v>0</v>
      </c>
      <c r="AI44" s="7">
        <v>1</v>
      </c>
      <c r="AJ44" s="7">
        <v>1</v>
      </c>
      <c r="AK44" s="7">
        <v>0</v>
      </c>
      <c r="AL44" s="7">
        <v>0</v>
      </c>
      <c r="AM44" s="7">
        <v>0</v>
      </c>
      <c r="AN44" s="7">
        <v>6</v>
      </c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</row>
    <row r="45" customHeight="1" spans="1:69">
      <c r="A45" s="6" t="s">
        <v>145</v>
      </c>
      <c r="B45" s="9" t="s">
        <v>191</v>
      </c>
      <c r="C45" s="6" t="s">
        <v>149</v>
      </c>
      <c r="D45" s="6">
        <v>62</v>
      </c>
      <c r="E45" s="6">
        <v>2</v>
      </c>
      <c r="F45" s="6">
        <v>2</v>
      </c>
      <c r="G45" s="6">
        <v>1</v>
      </c>
      <c r="H45" s="7">
        <v>1</v>
      </c>
      <c r="I45" s="7">
        <v>0</v>
      </c>
      <c r="J45" s="7">
        <v>0</v>
      </c>
      <c r="K45" s="7">
        <v>1</v>
      </c>
      <c r="L45" s="7">
        <v>70</v>
      </c>
      <c r="M45" s="7">
        <v>1</v>
      </c>
      <c r="N45" s="7">
        <v>0</v>
      </c>
      <c r="O45" s="7">
        <v>1</v>
      </c>
      <c r="P45" s="7">
        <v>1</v>
      </c>
      <c r="Q45" s="7">
        <v>5</v>
      </c>
      <c r="R45" s="7">
        <v>1</v>
      </c>
      <c r="S45" s="7">
        <v>1</v>
      </c>
      <c r="T45" s="7">
        <v>2</v>
      </c>
      <c r="U45" s="7">
        <v>2</v>
      </c>
      <c r="V45" s="7">
        <v>1</v>
      </c>
      <c r="W45" s="8">
        <v>1</v>
      </c>
      <c r="X45" s="7">
        <v>12</v>
      </c>
      <c r="Y45" s="7">
        <v>1</v>
      </c>
      <c r="Z45" s="8">
        <v>2</v>
      </c>
      <c r="AA45" s="8">
        <v>1</v>
      </c>
      <c r="AB45" s="8">
        <v>1</v>
      </c>
      <c r="AC45" s="7">
        <v>1</v>
      </c>
      <c r="AD45" s="8">
        <v>1</v>
      </c>
      <c r="AE45" s="8">
        <v>1</v>
      </c>
      <c r="AF45" s="8">
        <v>0</v>
      </c>
      <c r="AG45" s="7">
        <v>0</v>
      </c>
      <c r="AH45" s="8">
        <v>1</v>
      </c>
      <c r="AI45" s="7">
        <v>0</v>
      </c>
      <c r="AJ45" s="7">
        <v>1</v>
      </c>
      <c r="AK45" s="7">
        <v>0</v>
      </c>
      <c r="AL45" s="7">
        <v>0</v>
      </c>
      <c r="AM45" s="7">
        <v>0</v>
      </c>
      <c r="AN45" s="7">
        <v>1</v>
      </c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</row>
    <row r="46" customHeight="1" spans="1:69">
      <c r="A46" s="6" t="s">
        <v>145</v>
      </c>
      <c r="B46" s="9" t="s">
        <v>192</v>
      </c>
      <c r="C46" s="6" t="s">
        <v>149</v>
      </c>
      <c r="D46" s="6">
        <v>82</v>
      </c>
      <c r="E46" s="6">
        <v>2</v>
      </c>
      <c r="F46" s="6">
        <v>2</v>
      </c>
      <c r="G46" s="6">
        <v>1</v>
      </c>
      <c r="H46" s="7">
        <v>1</v>
      </c>
      <c r="I46" s="7">
        <v>2</v>
      </c>
      <c r="J46" s="7">
        <v>1</v>
      </c>
      <c r="K46" s="7">
        <v>1</v>
      </c>
      <c r="L46" s="7">
        <v>80</v>
      </c>
      <c r="M46" s="7">
        <v>1</v>
      </c>
      <c r="N46" s="7">
        <v>0</v>
      </c>
      <c r="O46" s="7">
        <v>5</v>
      </c>
      <c r="P46" s="7">
        <v>1</v>
      </c>
      <c r="Q46" s="7">
        <v>5</v>
      </c>
      <c r="R46" s="7">
        <v>1</v>
      </c>
      <c r="S46" s="7">
        <v>1</v>
      </c>
      <c r="T46" s="7">
        <v>2</v>
      </c>
      <c r="U46" s="7">
        <v>2</v>
      </c>
      <c r="V46" s="7">
        <v>1</v>
      </c>
      <c r="W46" s="8">
        <v>1</v>
      </c>
      <c r="X46" s="7">
        <v>10</v>
      </c>
      <c r="Y46" s="7">
        <v>1</v>
      </c>
      <c r="Z46" s="8">
        <v>2</v>
      </c>
      <c r="AA46" s="8">
        <v>1</v>
      </c>
      <c r="AB46" s="8">
        <v>1</v>
      </c>
      <c r="AC46" s="7">
        <v>1</v>
      </c>
      <c r="AD46" s="8">
        <v>1</v>
      </c>
      <c r="AE46" s="8">
        <v>0</v>
      </c>
      <c r="AF46" s="8">
        <v>1</v>
      </c>
      <c r="AG46" s="7">
        <v>2</v>
      </c>
      <c r="AH46" s="8">
        <v>1</v>
      </c>
      <c r="AI46" s="7">
        <v>1</v>
      </c>
      <c r="AJ46" s="7">
        <v>1</v>
      </c>
      <c r="AK46" s="7">
        <v>1</v>
      </c>
      <c r="AL46" s="7">
        <v>0</v>
      </c>
      <c r="AM46" s="7">
        <v>0</v>
      </c>
      <c r="AN46" s="7">
        <v>1</v>
      </c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</row>
    <row r="47" customHeight="1" spans="1:69">
      <c r="A47" s="9" t="s">
        <v>193</v>
      </c>
      <c r="B47" s="9" t="s">
        <v>194</v>
      </c>
      <c r="C47" s="6" t="s">
        <v>149</v>
      </c>
      <c r="D47" s="6">
        <v>323</v>
      </c>
      <c r="E47" s="6">
        <v>2</v>
      </c>
      <c r="F47" s="6">
        <v>2</v>
      </c>
      <c r="G47" s="6">
        <v>1</v>
      </c>
      <c r="H47" s="7">
        <v>1</v>
      </c>
      <c r="I47" s="7">
        <v>2</v>
      </c>
      <c r="J47" s="7">
        <v>1</v>
      </c>
      <c r="K47" s="7">
        <v>1</v>
      </c>
      <c r="L47" s="7">
        <v>318</v>
      </c>
      <c r="M47" s="7">
        <v>1</v>
      </c>
      <c r="N47" s="7">
        <v>0</v>
      </c>
      <c r="O47" s="7">
        <v>2</v>
      </c>
      <c r="P47" s="7">
        <v>1</v>
      </c>
      <c r="Q47" s="7">
        <v>5</v>
      </c>
      <c r="R47" s="7">
        <v>1</v>
      </c>
      <c r="S47" s="7">
        <v>1</v>
      </c>
      <c r="T47" s="7">
        <v>6</v>
      </c>
      <c r="U47" s="7">
        <v>4</v>
      </c>
      <c r="V47" s="7">
        <v>1</v>
      </c>
      <c r="W47" s="8">
        <v>3</v>
      </c>
      <c r="X47" s="7">
        <v>30</v>
      </c>
      <c r="Y47" s="7">
        <v>1</v>
      </c>
      <c r="Z47" s="8">
        <v>5</v>
      </c>
      <c r="AA47" s="8">
        <v>1</v>
      </c>
      <c r="AB47" s="8">
        <v>1</v>
      </c>
      <c r="AC47" s="7">
        <v>1</v>
      </c>
      <c r="AD47" s="8">
        <v>1</v>
      </c>
      <c r="AE47" s="8">
        <v>1</v>
      </c>
      <c r="AF47" s="8">
        <v>1</v>
      </c>
      <c r="AG47" s="7">
        <v>6</v>
      </c>
      <c r="AH47" s="8">
        <v>1</v>
      </c>
      <c r="AI47" s="7">
        <v>3</v>
      </c>
      <c r="AJ47" s="7">
        <v>1</v>
      </c>
      <c r="AK47" s="7">
        <v>1</v>
      </c>
      <c r="AL47" s="7">
        <v>1</v>
      </c>
      <c r="AM47" s="7">
        <v>1</v>
      </c>
      <c r="AN47" s="7">
        <v>4</v>
      </c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</row>
    <row r="48" customHeight="1" spans="1:69">
      <c r="A48" s="6" t="s">
        <v>145</v>
      </c>
      <c r="B48" s="9" t="s">
        <v>195</v>
      </c>
      <c r="C48" s="6" t="s">
        <v>149</v>
      </c>
      <c r="D48" s="6">
        <v>108</v>
      </c>
      <c r="E48" s="6">
        <v>2</v>
      </c>
      <c r="F48" s="6">
        <v>2</v>
      </c>
      <c r="G48" s="6">
        <v>1</v>
      </c>
      <c r="H48" s="7">
        <v>1</v>
      </c>
      <c r="I48" s="7">
        <v>0</v>
      </c>
      <c r="J48" s="7">
        <v>1</v>
      </c>
      <c r="K48" s="7">
        <v>1</v>
      </c>
      <c r="L48" s="7">
        <v>56</v>
      </c>
      <c r="M48" s="7">
        <v>1</v>
      </c>
      <c r="N48" s="7">
        <v>1</v>
      </c>
      <c r="O48" s="7">
        <v>0</v>
      </c>
      <c r="P48" s="7">
        <v>1</v>
      </c>
      <c r="Q48" s="7">
        <v>4</v>
      </c>
      <c r="R48" s="7">
        <v>1</v>
      </c>
      <c r="S48" s="7">
        <v>1</v>
      </c>
      <c r="T48" s="7">
        <v>2</v>
      </c>
      <c r="U48" s="7">
        <v>1</v>
      </c>
      <c r="V48" s="7">
        <v>1</v>
      </c>
      <c r="W48" s="8">
        <v>0</v>
      </c>
      <c r="X48" s="7">
        <v>2</v>
      </c>
      <c r="Y48" s="7">
        <v>0</v>
      </c>
      <c r="Z48" s="8">
        <v>1</v>
      </c>
      <c r="AA48" s="8">
        <v>0</v>
      </c>
      <c r="AB48" s="8">
        <v>2</v>
      </c>
      <c r="AC48" s="7">
        <v>0</v>
      </c>
      <c r="AD48" s="8">
        <v>1</v>
      </c>
      <c r="AE48" s="8">
        <v>1</v>
      </c>
      <c r="AF48" s="8">
        <v>1</v>
      </c>
      <c r="AG48" s="7">
        <v>0</v>
      </c>
      <c r="AH48" s="8">
        <v>0</v>
      </c>
      <c r="AI48" s="7">
        <v>0</v>
      </c>
      <c r="AJ48" s="7">
        <v>1</v>
      </c>
      <c r="AK48" s="7">
        <v>0</v>
      </c>
      <c r="AL48" s="7">
        <v>0</v>
      </c>
      <c r="AM48" s="7">
        <v>0</v>
      </c>
      <c r="AN48" s="7">
        <v>2</v>
      </c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</row>
    <row r="49" customHeight="1" spans="1:69">
      <c r="A49" s="9" t="s">
        <v>193</v>
      </c>
      <c r="B49" s="6" t="s">
        <v>196</v>
      </c>
      <c r="C49" s="6" t="s">
        <v>153</v>
      </c>
      <c r="D49" s="6">
        <v>1424</v>
      </c>
      <c r="E49" s="6">
        <v>5</v>
      </c>
      <c r="F49" s="6">
        <v>6</v>
      </c>
      <c r="G49" s="6">
        <v>1</v>
      </c>
      <c r="H49" s="7">
        <v>2</v>
      </c>
      <c r="I49" s="7">
        <v>5</v>
      </c>
      <c r="J49" s="7">
        <v>1</v>
      </c>
      <c r="K49" s="7">
        <v>3</v>
      </c>
      <c r="L49" s="7">
        <v>1350</v>
      </c>
      <c r="M49" s="7">
        <v>2</v>
      </c>
      <c r="N49" s="7">
        <v>1</v>
      </c>
      <c r="O49" s="7">
        <v>5</v>
      </c>
      <c r="P49" s="7">
        <v>4</v>
      </c>
      <c r="Q49" s="7">
        <v>10</v>
      </c>
      <c r="R49" s="7">
        <v>2</v>
      </c>
      <c r="S49" s="7">
        <v>1</v>
      </c>
      <c r="T49" s="7">
        <v>16</v>
      </c>
      <c r="U49" s="7">
        <v>6</v>
      </c>
      <c r="V49" s="7">
        <v>1</v>
      </c>
      <c r="W49" s="8">
        <v>14</v>
      </c>
      <c r="X49" s="7">
        <v>80</v>
      </c>
      <c r="Y49" s="7">
        <v>1</v>
      </c>
      <c r="Z49" s="8">
        <v>12</v>
      </c>
      <c r="AA49" s="8">
        <v>1</v>
      </c>
      <c r="AB49" s="8">
        <v>1</v>
      </c>
      <c r="AC49" s="7">
        <v>1</v>
      </c>
      <c r="AD49" s="8">
        <v>1</v>
      </c>
      <c r="AE49" s="8">
        <v>1</v>
      </c>
      <c r="AF49" s="8">
        <v>1</v>
      </c>
      <c r="AG49" s="7">
        <v>16</v>
      </c>
      <c r="AH49" s="8">
        <v>1</v>
      </c>
      <c r="AI49" s="7">
        <v>13</v>
      </c>
      <c r="AJ49" s="7">
        <v>1</v>
      </c>
      <c r="AK49" s="7">
        <v>1</v>
      </c>
      <c r="AL49" s="7">
        <v>1</v>
      </c>
      <c r="AM49" s="7">
        <v>1</v>
      </c>
      <c r="AN49" s="7">
        <v>15</v>
      </c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</row>
    <row r="50" customHeight="1" spans="1:69">
      <c r="A50" s="9" t="s">
        <v>151</v>
      </c>
      <c r="B50" s="6" t="s">
        <v>197</v>
      </c>
      <c r="C50" s="6" t="s">
        <v>147</v>
      </c>
      <c r="D50" s="6">
        <v>576</v>
      </c>
      <c r="E50" s="6">
        <v>4</v>
      </c>
      <c r="F50" s="6">
        <v>4</v>
      </c>
      <c r="G50" s="6">
        <v>1</v>
      </c>
      <c r="H50" s="7">
        <v>1</v>
      </c>
      <c r="I50" s="7">
        <v>2</v>
      </c>
      <c r="J50" s="7">
        <v>1</v>
      </c>
      <c r="K50" s="7">
        <v>1</v>
      </c>
      <c r="L50" s="7">
        <v>588</v>
      </c>
      <c r="M50" s="7">
        <v>1</v>
      </c>
      <c r="N50" s="7">
        <v>0</v>
      </c>
      <c r="O50" s="7">
        <v>10</v>
      </c>
      <c r="P50" s="7">
        <v>4</v>
      </c>
      <c r="Q50" s="7">
        <v>10</v>
      </c>
      <c r="R50" s="7">
        <v>1</v>
      </c>
      <c r="S50" s="7">
        <v>1</v>
      </c>
      <c r="T50" s="7">
        <v>8</v>
      </c>
      <c r="U50" s="7">
        <v>6</v>
      </c>
      <c r="V50" s="7">
        <v>1</v>
      </c>
      <c r="W50" s="8">
        <v>6</v>
      </c>
      <c r="X50" s="7">
        <v>40</v>
      </c>
      <c r="Y50" s="7">
        <v>1</v>
      </c>
      <c r="Z50" s="8">
        <v>6</v>
      </c>
      <c r="AA50" s="8">
        <v>1</v>
      </c>
      <c r="AB50" s="8">
        <v>1</v>
      </c>
      <c r="AC50" s="7">
        <v>1</v>
      </c>
      <c r="AD50" s="8">
        <v>1</v>
      </c>
      <c r="AE50" s="8">
        <v>1</v>
      </c>
      <c r="AF50" s="8">
        <v>1</v>
      </c>
      <c r="AG50" s="7">
        <v>8</v>
      </c>
      <c r="AH50" s="8">
        <v>1</v>
      </c>
      <c r="AI50" s="7">
        <v>4</v>
      </c>
      <c r="AJ50" s="7">
        <v>1</v>
      </c>
      <c r="AK50" s="7">
        <v>1</v>
      </c>
      <c r="AL50" s="7">
        <v>1</v>
      </c>
      <c r="AM50" s="7">
        <v>1</v>
      </c>
      <c r="AN50" s="7">
        <v>6</v>
      </c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</row>
    <row r="51" customHeight="1" spans="1:69">
      <c r="A51" s="9" t="s">
        <v>151</v>
      </c>
      <c r="B51" s="6" t="s">
        <v>198</v>
      </c>
      <c r="C51" s="6" t="s">
        <v>147</v>
      </c>
      <c r="D51" s="6">
        <v>608</v>
      </c>
      <c r="E51" s="6">
        <v>4</v>
      </c>
      <c r="F51" s="6">
        <v>4</v>
      </c>
      <c r="G51" s="6">
        <v>1</v>
      </c>
      <c r="H51" s="7">
        <v>1</v>
      </c>
      <c r="I51" s="7">
        <v>2</v>
      </c>
      <c r="J51" s="7">
        <v>1</v>
      </c>
      <c r="K51" s="7">
        <v>1</v>
      </c>
      <c r="L51" s="7">
        <v>683</v>
      </c>
      <c r="M51" s="7">
        <v>1</v>
      </c>
      <c r="N51" s="7">
        <v>1</v>
      </c>
      <c r="O51" s="7">
        <v>10</v>
      </c>
      <c r="P51" s="7">
        <v>4</v>
      </c>
      <c r="Q51" s="7">
        <v>10</v>
      </c>
      <c r="R51" s="7">
        <v>1</v>
      </c>
      <c r="S51" s="7">
        <v>1</v>
      </c>
      <c r="T51" s="7">
        <v>8</v>
      </c>
      <c r="U51" s="7">
        <v>6</v>
      </c>
      <c r="V51" s="7">
        <v>1</v>
      </c>
      <c r="W51" s="8">
        <v>7</v>
      </c>
      <c r="X51" s="7">
        <v>40</v>
      </c>
      <c r="Y51" s="7">
        <v>1</v>
      </c>
      <c r="Z51" s="8">
        <v>6</v>
      </c>
      <c r="AA51" s="8">
        <v>1</v>
      </c>
      <c r="AB51" s="8">
        <v>1</v>
      </c>
      <c r="AC51" s="7">
        <v>1</v>
      </c>
      <c r="AD51" s="8">
        <v>1</v>
      </c>
      <c r="AE51" s="8">
        <v>1</v>
      </c>
      <c r="AF51" s="8">
        <v>1</v>
      </c>
      <c r="AG51" s="7">
        <v>8</v>
      </c>
      <c r="AH51" s="8">
        <v>1</v>
      </c>
      <c r="AI51" s="7">
        <v>4</v>
      </c>
      <c r="AJ51" s="7">
        <v>1</v>
      </c>
      <c r="AK51" s="7">
        <v>1</v>
      </c>
      <c r="AL51" s="7">
        <v>1</v>
      </c>
      <c r="AM51" s="7">
        <v>1</v>
      </c>
      <c r="AN51" s="7">
        <v>7</v>
      </c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</row>
    <row r="52" customHeight="1" spans="1:69">
      <c r="A52" s="9" t="s">
        <v>193</v>
      </c>
      <c r="B52" s="9" t="s">
        <v>199</v>
      </c>
      <c r="C52" s="6" t="s">
        <v>149</v>
      </c>
      <c r="D52" s="6">
        <v>493</v>
      </c>
      <c r="E52" s="6">
        <v>2</v>
      </c>
      <c r="F52" s="6">
        <v>2</v>
      </c>
      <c r="G52" s="6">
        <v>1</v>
      </c>
      <c r="H52" s="7">
        <v>1</v>
      </c>
      <c r="I52" s="7">
        <v>2</v>
      </c>
      <c r="J52" s="7">
        <v>1</v>
      </c>
      <c r="K52" s="7">
        <v>1</v>
      </c>
      <c r="L52" s="7">
        <v>495</v>
      </c>
      <c r="M52" s="7">
        <v>1</v>
      </c>
      <c r="N52" s="7">
        <v>0</v>
      </c>
      <c r="O52" s="7">
        <v>2</v>
      </c>
      <c r="P52" s="7">
        <v>1</v>
      </c>
      <c r="Q52" s="7">
        <v>5</v>
      </c>
      <c r="R52" s="7">
        <v>1</v>
      </c>
      <c r="S52" s="7">
        <v>1</v>
      </c>
      <c r="T52" s="7">
        <v>4</v>
      </c>
      <c r="U52" s="7">
        <v>2</v>
      </c>
      <c r="V52" s="7">
        <v>1</v>
      </c>
      <c r="W52" s="8">
        <v>5</v>
      </c>
      <c r="X52" s="7">
        <v>20</v>
      </c>
      <c r="Y52" s="7">
        <v>1</v>
      </c>
      <c r="Z52" s="8">
        <v>3</v>
      </c>
      <c r="AA52" s="8">
        <v>1</v>
      </c>
      <c r="AB52" s="8">
        <v>1</v>
      </c>
      <c r="AC52" s="7">
        <v>1</v>
      </c>
      <c r="AD52" s="8">
        <v>1</v>
      </c>
      <c r="AE52" s="8">
        <v>1</v>
      </c>
      <c r="AF52" s="8">
        <v>1</v>
      </c>
      <c r="AG52" s="7">
        <v>4</v>
      </c>
      <c r="AH52" s="8">
        <v>1</v>
      </c>
      <c r="AI52" s="7">
        <v>2</v>
      </c>
      <c r="AJ52" s="7">
        <v>1</v>
      </c>
      <c r="AK52" s="7">
        <v>1</v>
      </c>
      <c r="AL52" s="7">
        <v>1</v>
      </c>
      <c r="AM52" s="7">
        <v>1</v>
      </c>
      <c r="AN52" s="7">
        <v>5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</row>
    <row r="53" customHeight="1" spans="1:69">
      <c r="A53" s="9" t="s">
        <v>193</v>
      </c>
      <c r="B53" s="6" t="s">
        <v>200</v>
      </c>
      <c r="C53" s="6" t="s">
        <v>149</v>
      </c>
      <c r="D53" s="6">
        <v>325</v>
      </c>
      <c r="E53" s="6">
        <v>2</v>
      </c>
      <c r="F53" s="6">
        <v>2</v>
      </c>
      <c r="G53" s="6">
        <v>1</v>
      </c>
      <c r="H53" s="7">
        <v>1</v>
      </c>
      <c r="I53" s="7">
        <v>2</v>
      </c>
      <c r="J53" s="7">
        <v>1</v>
      </c>
      <c r="K53" s="7">
        <v>1</v>
      </c>
      <c r="L53" s="7">
        <v>326</v>
      </c>
      <c r="M53" s="7">
        <v>1</v>
      </c>
      <c r="N53" s="7">
        <v>1</v>
      </c>
      <c r="O53" s="7">
        <v>5</v>
      </c>
      <c r="P53" s="7">
        <v>3</v>
      </c>
      <c r="Q53" s="7">
        <v>10</v>
      </c>
      <c r="R53" s="7">
        <v>1</v>
      </c>
      <c r="S53" s="7">
        <v>1</v>
      </c>
      <c r="T53" s="7">
        <v>4</v>
      </c>
      <c r="U53" s="7">
        <v>2</v>
      </c>
      <c r="V53" s="7">
        <v>1</v>
      </c>
      <c r="W53" s="8">
        <v>3</v>
      </c>
      <c r="X53" s="7">
        <v>20</v>
      </c>
      <c r="Y53" s="7">
        <v>1</v>
      </c>
      <c r="Z53" s="8">
        <v>3</v>
      </c>
      <c r="AA53" s="8">
        <v>1</v>
      </c>
      <c r="AB53" s="8">
        <v>1</v>
      </c>
      <c r="AC53" s="7">
        <v>1</v>
      </c>
      <c r="AD53" s="8">
        <v>1</v>
      </c>
      <c r="AE53" s="8">
        <v>1</v>
      </c>
      <c r="AF53" s="8">
        <v>1</v>
      </c>
      <c r="AG53" s="7">
        <v>4</v>
      </c>
      <c r="AH53" s="8">
        <v>1</v>
      </c>
      <c r="AI53" s="7">
        <v>2</v>
      </c>
      <c r="AJ53" s="7">
        <v>1</v>
      </c>
      <c r="AK53" s="7">
        <v>1</v>
      </c>
      <c r="AL53" s="7">
        <v>1</v>
      </c>
      <c r="AM53" s="7">
        <v>1</v>
      </c>
      <c r="AN53" s="7">
        <v>4</v>
      </c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</row>
    <row r="54" customHeight="1" spans="1:69">
      <c r="A54" s="9" t="s">
        <v>193</v>
      </c>
      <c r="B54" s="6" t="s">
        <v>201</v>
      </c>
      <c r="C54" s="6" t="s">
        <v>153</v>
      </c>
      <c r="D54" s="6">
        <v>2675</v>
      </c>
      <c r="E54" s="6">
        <v>5</v>
      </c>
      <c r="F54" s="6">
        <v>6</v>
      </c>
      <c r="G54" s="6">
        <v>2</v>
      </c>
      <c r="H54" s="7">
        <v>3</v>
      </c>
      <c r="I54" s="7">
        <v>5</v>
      </c>
      <c r="J54" s="7">
        <v>1</v>
      </c>
      <c r="K54" s="7">
        <v>3</v>
      </c>
      <c r="L54" s="7">
        <v>2672</v>
      </c>
      <c r="M54" s="7">
        <v>1</v>
      </c>
      <c r="N54" s="7">
        <v>1</v>
      </c>
      <c r="O54" s="7">
        <v>10</v>
      </c>
      <c r="P54" s="7">
        <v>4</v>
      </c>
      <c r="Q54" s="7">
        <v>10</v>
      </c>
      <c r="R54" s="7">
        <v>2</v>
      </c>
      <c r="S54" s="7">
        <v>1</v>
      </c>
      <c r="T54" s="7">
        <v>38</v>
      </c>
      <c r="U54" s="7">
        <v>10</v>
      </c>
      <c r="V54" s="7">
        <v>1</v>
      </c>
      <c r="W54" s="8">
        <v>27</v>
      </c>
      <c r="X54" s="7">
        <v>190</v>
      </c>
      <c r="Y54" s="7">
        <v>1</v>
      </c>
      <c r="Z54" s="8">
        <v>29</v>
      </c>
      <c r="AA54" s="8">
        <v>1</v>
      </c>
      <c r="AB54" s="8">
        <v>1</v>
      </c>
      <c r="AC54" s="7">
        <v>1</v>
      </c>
      <c r="AD54" s="8">
        <v>1</v>
      </c>
      <c r="AE54" s="8">
        <v>1</v>
      </c>
      <c r="AF54" s="8">
        <v>1</v>
      </c>
      <c r="AG54" s="7">
        <v>38</v>
      </c>
      <c r="AH54" s="8">
        <v>1</v>
      </c>
      <c r="AI54" s="7">
        <v>25</v>
      </c>
      <c r="AJ54" s="7">
        <v>1</v>
      </c>
      <c r="AK54" s="7">
        <v>1</v>
      </c>
      <c r="AL54" s="7">
        <v>1</v>
      </c>
      <c r="AM54" s="7">
        <v>1</v>
      </c>
      <c r="AN54" s="7">
        <v>27</v>
      </c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</row>
    <row r="55" customHeight="1" spans="1:69">
      <c r="A55" s="9" t="s">
        <v>193</v>
      </c>
      <c r="B55" s="6" t="s">
        <v>202</v>
      </c>
      <c r="C55" s="6" t="s">
        <v>153</v>
      </c>
      <c r="D55" s="6">
        <v>2535</v>
      </c>
      <c r="E55" s="6">
        <v>5</v>
      </c>
      <c r="F55" s="6">
        <v>6</v>
      </c>
      <c r="G55" s="6">
        <v>2</v>
      </c>
      <c r="H55" s="7">
        <v>3</v>
      </c>
      <c r="I55" s="7">
        <v>5</v>
      </c>
      <c r="J55" s="7">
        <v>2</v>
      </c>
      <c r="K55" s="7">
        <v>3</v>
      </c>
      <c r="L55" s="7">
        <v>2524</v>
      </c>
      <c r="M55" s="7">
        <v>2</v>
      </c>
      <c r="N55" s="7">
        <v>1</v>
      </c>
      <c r="O55" s="7">
        <v>10</v>
      </c>
      <c r="P55" s="7">
        <v>4</v>
      </c>
      <c r="Q55" s="7">
        <v>10</v>
      </c>
      <c r="R55" s="7">
        <v>2</v>
      </c>
      <c r="S55" s="7">
        <v>1</v>
      </c>
      <c r="T55" s="7">
        <v>30</v>
      </c>
      <c r="U55" s="7">
        <v>10</v>
      </c>
      <c r="V55" s="7">
        <v>1</v>
      </c>
      <c r="W55" s="8">
        <v>25</v>
      </c>
      <c r="X55" s="7">
        <v>150</v>
      </c>
      <c r="Y55" s="7">
        <v>1</v>
      </c>
      <c r="Z55" s="8">
        <v>23</v>
      </c>
      <c r="AA55" s="8">
        <v>1</v>
      </c>
      <c r="AB55" s="8">
        <v>1</v>
      </c>
      <c r="AC55" s="7">
        <v>1</v>
      </c>
      <c r="AD55" s="8">
        <v>1</v>
      </c>
      <c r="AE55" s="8">
        <v>1</v>
      </c>
      <c r="AF55" s="8">
        <v>1</v>
      </c>
      <c r="AG55" s="7">
        <v>30</v>
      </c>
      <c r="AH55" s="8">
        <v>1</v>
      </c>
      <c r="AI55" s="7">
        <v>21</v>
      </c>
      <c r="AJ55" s="7">
        <v>1</v>
      </c>
      <c r="AK55" s="7">
        <v>1</v>
      </c>
      <c r="AL55" s="7">
        <v>1</v>
      </c>
      <c r="AM55" s="7">
        <v>1</v>
      </c>
      <c r="AN55" s="7">
        <v>26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</row>
    <row r="56" customHeight="1" spans="1:69">
      <c r="A56" s="9" t="s">
        <v>193</v>
      </c>
      <c r="B56" s="9" t="s">
        <v>203</v>
      </c>
      <c r="C56" s="6" t="s">
        <v>149</v>
      </c>
      <c r="D56" s="6">
        <v>198</v>
      </c>
      <c r="E56" s="6">
        <v>2</v>
      </c>
      <c r="F56" s="6">
        <v>2</v>
      </c>
      <c r="G56" s="6">
        <v>1</v>
      </c>
      <c r="H56" s="7">
        <v>1</v>
      </c>
      <c r="I56" s="7">
        <v>2</v>
      </c>
      <c r="J56" s="7">
        <v>1</v>
      </c>
      <c r="K56" s="7">
        <v>1</v>
      </c>
      <c r="L56" s="7">
        <v>196</v>
      </c>
      <c r="M56" s="7">
        <v>1</v>
      </c>
      <c r="N56" s="7">
        <v>0</v>
      </c>
      <c r="O56" s="7">
        <v>5</v>
      </c>
      <c r="P56" s="7">
        <v>1</v>
      </c>
      <c r="Q56" s="7">
        <v>5</v>
      </c>
      <c r="R56" s="7">
        <v>1</v>
      </c>
      <c r="S56" s="7">
        <v>1</v>
      </c>
      <c r="T56" s="7">
        <v>2</v>
      </c>
      <c r="U56" s="7">
        <v>2</v>
      </c>
      <c r="V56" s="7">
        <v>1</v>
      </c>
      <c r="W56" s="8">
        <v>2</v>
      </c>
      <c r="X56" s="7">
        <v>10</v>
      </c>
      <c r="Y56" s="7">
        <v>1</v>
      </c>
      <c r="Z56" s="8">
        <v>2</v>
      </c>
      <c r="AA56" s="8">
        <v>1</v>
      </c>
      <c r="AB56" s="8">
        <v>1</v>
      </c>
      <c r="AC56" s="7">
        <v>1</v>
      </c>
      <c r="AD56" s="8">
        <v>1</v>
      </c>
      <c r="AE56" s="8">
        <v>1</v>
      </c>
      <c r="AF56" s="8">
        <v>1</v>
      </c>
      <c r="AG56" s="7">
        <v>2</v>
      </c>
      <c r="AH56" s="8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2</v>
      </c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</row>
    <row r="57" customHeight="1" spans="1:69">
      <c r="A57" s="9" t="s">
        <v>193</v>
      </c>
      <c r="B57" s="9" t="s">
        <v>204</v>
      </c>
      <c r="C57" s="6" t="s">
        <v>149</v>
      </c>
      <c r="D57" s="6">
        <v>155</v>
      </c>
      <c r="E57" s="6">
        <v>2</v>
      </c>
      <c r="F57" s="6">
        <v>2</v>
      </c>
      <c r="G57" s="6">
        <v>1</v>
      </c>
      <c r="H57" s="7">
        <v>1</v>
      </c>
      <c r="I57" s="7">
        <v>2</v>
      </c>
      <c r="J57" s="7">
        <v>1</v>
      </c>
      <c r="K57" s="7">
        <v>1</v>
      </c>
      <c r="L57" s="7">
        <v>156</v>
      </c>
      <c r="M57" s="7">
        <v>1</v>
      </c>
      <c r="N57" s="7">
        <v>0</v>
      </c>
      <c r="O57" s="7">
        <v>2</v>
      </c>
      <c r="P57" s="7">
        <v>1</v>
      </c>
      <c r="Q57" s="7">
        <v>5</v>
      </c>
      <c r="R57" s="7">
        <v>1</v>
      </c>
      <c r="S57" s="7">
        <v>1</v>
      </c>
      <c r="T57" s="7">
        <v>4</v>
      </c>
      <c r="U57" s="7">
        <v>4</v>
      </c>
      <c r="V57" s="7">
        <v>1</v>
      </c>
      <c r="W57" s="8">
        <v>2</v>
      </c>
      <c r="X57" s="7">
        <v>20</v>
      </c>
      <c r="Y57" s="7">
        <v>1</v>
      </c>
      <c r="Z57" s="8">
        <v>3</v>
      </c>
      <c r="AA57" s="8">
        <v>1</v>
      </c>
      <c r="AB57" s="8">
        <v>1</v>
      </c>
      <c r="AC57" s="7">
        <v>1</v>
      </c>
      <c r="AD57" s="8">
        <v>1</v>
      </c>
      <c r="AE57" s="8">
        <v>1</v>
      </c>
      <c r="AF57" s="8">
        <v>1</v>
      </c>
      <c r="AG57" s="7">
        <v>4</v>
      </c>
      <c r="AH57" s="8">
        <v>1</v>
      </c>
      <c r="AI57" s="7">
        <v>2</v>
      </c>
      <c r="AJ57" s="7">
        <v>1</v>
      </c>
      <c r="AK57" s="7">
        <v>1</v>
      </c>
      <c r="AL57" s="7">
        <v>1</v>
      </c>
      <c r="AM57" s="7">
        <v>1</v>
      </c>
      <c r="AN57" s="7">
        <v>2</v>
      </c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</row>
    <row r="58" customHeight="1" spans="1:69">
      <c r="A58" s="9" t="s">
        <v>151</v>
      </c>
      <c r="B58" s="6" t="s">
        <v>205</v>
      </c>
      <c r="C58" s="6" t="s">
        <v>153</v>
      </c>
      <c r="D58" s="6">
        <v>1048</v>
      </c>
      <c r="E58" s="6">
        <v>5</v>
      </c>
      <c r="F58" s="6">
        <v>6</v>
      </c>
      <c r="G58" s="6">
        <v>1</v>
      </c>
      <c r="H58" s="7">
        <v>1</v>
      </c>
      <c r="I58" s="7">
        <v>2</v>
      </c>
      <c r="J58" s="7">
        <v>1</v>
      </c>
      <c r="K58" s="7">
        <v>1</v>
      </c>
      <c r="L58" s="7">
        <v>1053</v>
      </c>
      <c r="M58" s="7">
        <v>1</v>
      </c>
      <c r="N58" s="7">
        <v>1</v>
      </c>
      <c r="O58" s="7">
        <v>10</v>
      </c>
      <c r="P58" s="7">
        <v>4</v>
      </c>
      <c r="Q58" s="7">
        <v>10</v>
      </c>
      <c r="R58" s="7">
        <v>1</v>
      </c>
      <c r="S58" s="7">
        <v>1</v>
      </c>
      <c r="T58" s="7">
        <v>10</v>
      </c>
      <c r="U58" s="7">
        <v>6</v>
      </c>
      <c r="V58" s="7">
        <v>1</v>
      </c>
      <c r="W58" s="8">
        <v>11</v>
      </c>
      <c r="X58" s="7">
        <v>50</v>
      </c>
      <c r="Y58" s="7">
        <v>1</v>
      </c>
      <c r="Z58" s="8">
        <v>8</v>
      </c>
      <c r="AA58" s="8">
        <v>1</v>
      </c>
      <c r="AB58" s="8">
        <v>1</v>
      </c>
      <c r="AC58" s="7">
        <v>1</v>
      </c>
      <c r="AD58" s="8">
        <v>1</v>
      </c>
      <c r="AE58" s="8">
        <v>1</v>
      </c>
      <c r="AF58" s="8">
        <v>1</v>
      </c>
      <c r="AG58" s="7">
        <v>10</v>
      </c>
      <c r="AH58" s="8">
        <v>1</v>
      </c>
      <c r="AI58" s="7">
        <v>5</v>
      </c>
      <c r="AJ58" s="7">
        <v>1</v>
      </c>
      <c r="AK58" s="7">
        <v>1</v>
      </c>
      <c r="AL58" s="7">
        <v>1</v>
      </c>
      <c r="AM58" s="7">
        <v>1</v>
      </c>
      <c r="AN58" s="7">
        <v>11</v>
      </c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</row>
    <row r="59" customHeight="1" spans="1:69">
      <c r="A59" s="6" t="s">
        <v>145</v>
      </c>
      <c r="B59" s="9" t="s">
        <v>206</v>
      </c>
      <c r="C59" s="6" t="s">
        <v>149</v>
      </c>
      <c r="D59" s="6">
        <v>59</v>
      </c>
      <c r="E59" s="6">
        <v>2</v>
      </c>
      <c r="F59" s="6">
        <v>2</v>
      </c>
      <c r="G59" s="6">
        <v>1</v>
      </c>
      <c r="H59" s="7">
        <v>1</v>
      </c>
      <c r="I59" s="7">
        <v>2</v>
      </c>
      <c r="J59" s="7">
        <v>1</v>
      </c>
      <c r="K59" s="7">
        <v>1</v>
      </c>
      <c r="L59" s="7">
        <v>59</v>
      </c>
      <c r="M59" s="7">
        <v>1</v>
      </c>
      <c r="N59" s="7">
        <v>1</v>
      </c>
      <c r="O59" s="7">
        <v>5</v>
      </c>
      <c r="P59" s="7">
        <v>1</v>
      </c>
      <c r="Q59" s="7">
        <v>5</v>
      </c>
      <c r="R59" s="7">
        <v>1</v>
      </c>
      <c r="S59" s="7">
        <v>1</v>
      </c>
      <c r="T59" s="7">
        <v>2</v>
      </c>
      <c r="U59" s="7">
        <v>2</v>
      </c>
      <c r="V59" s="7">
        <v>1</v>
      </c>
      <c r="W59" s="8">
        <v>1</v>
      </c>
      <c r="X59" s="7">
        <v>10</v>
      </c>
      <c r="Y59" s="7">
        <v>1</v>
      </c>
      <c r="Z59" s="8">
        <v>2</v>
      </c>
      <c r="AA59" s="8">
        <v>1</v>
      </c>
      <c r="AB59" s="8">
        <v>1</v>
      </c>
      <c r="AC59" s="7">
        <v>1</v>
      </c>
      <c r="AD59" s="8">
        <v>1</v>
      </c>
      <c r="AE59" s="8">
        <v>1</v>
      </c>
      <c r="AF59" s="8">
        <v>1</v>
      </c>
      <c r="AG59" s="7">
        <v>2</v>
      </c>
      <c r="AH59" s="8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</row>
    <row r="60" customHeight="1" spans="1:69">
      <c r="A60" s="6" t="s">
        <v>145</v>
      </c>
      <c r="B60" s="9" t="s">
        <v>207</v>
      </c>
      <c r="C60" s="6" t="s">
        <v>149</v>
      </c>
      <c r="D60" s="6">
        <v>107</v>
      </c>
      <c r="E60" s="6">
        <v>2</v>
      </c>
      <c r="F60" s="6">
        <v>2</v>
      </c>
      <c r="G60" s="6">
        <v>1</v>
      </c>
      <c r="H60" s="7">
        <v>1</v>
      </c>
      <c r="I60" s="7">
        <v>2</v>
      </c>
      <c r="J60" s="7">
        <v>1</v>
      </c>
      <c r="K60" s="7">
        <v>1</v>
      </c>
      <c r="L60" s="7">
        <v>80</v>
      </c>
      <c r="M60" s="7">
        <v>1</v>
      </c>
      <c r="N60" s="7">
        <v>0</v>
      </c>
      <c r="O60" s="7">
        <v>5</v>
      </c>
      <c r="P60" s="7">
        <v>1</v>
      </c>
      <c r="Q60" s="7">
        <v>5</v>
      </c>
      <c r="R60" s="7">
        <v>1</v>
      </c>
      <c r="S60" s="7">
        <v>1</v>
      </c>
      <c r="T60" s="7">
        <v>2</v>
      </c>
      <c r="U60" s="7">
        <v>2</v>
      </c>
      <c r="V60" s="7">
        <v>1</v>
      </c>
      <c r="W60" s="8">
        <v>1</v>
      </c>
      <c r="X60" s="7">
        <v>10</v>
      </c>
      <c r="Y60" s="7">
        <v>1</v>
      </c>
      <c r="Z60" s="8">
        <v>2</v>
      </c>
      <c r="AA60" s="8">
        <v>1</v>
      </c>
      <c r="AB60" s="8">
        <v>1</v>
      </c>
      <c r="AC60" s="7">
        <v>1</v>
      </c>
      <c r="AD60" s="8">
        <v>1</v>
      </c>
      <c r="AE60" s="8">
        <v>1</v>
      </c>
      <c r="AF60" s="8">
        <v>1</v>
      </c>
      <c r="AG60" s="7">
        <v>2</v>
      </c>
      <c r="AH60" s="8">
        <v>1</v>
      </c>
      <c r="AI60" s="7">
        <v>1</v>
      </c>
      <c r="AJ60" s="7">
        <v>1</v>
      </c>
      <c r="AK60" s="7">
        <v>1</v>
      </c>
      <c r="AL60" s="7">
        <v>0</v>
      </c>
      <c r="AM60" s="7">
        <v>0</v>
      </c>
      <c r="AN60" s="7">
        <v>1</v>
      </c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</row>
    <row r="61" customHeight="1" spans="1:69">
      <c r="A61" s="9" t="s">
        <v>193</v>
      </c>
      <c r="B61" s="6" t="s">
        <v>208</v>
      </c>
      <c r="C61" s="6" t="s">
        <v>153</v>
      </c>
      <c r="D61" s="6">
        <v>3511</v>
      </c>
      <c r="E61" s="6">
        <v>5</v>
      </c>
      <c r="F61" s="6">
        <v>6</v>
      </c>
      <c r="G61" s="6">
        <v>2</v>
      </c>
      <c r="H61" s="7">
        <v>3</v>
      </c>
      <c r="I61" s="7">
        <v>5</v>
      </c>
      <c r="J61" s="7">
        <v>2</v>
      </c>
      <c r="K61" s="7">
        <v>3</v>
      </c>
      <c r="L61" s="7">
        <v>3521</v>
      </c>
      <c r="M61" s="7">
        <v>2</v>
      </c>
      <c r="N61" s="7">
        <v>1</v>
      </c>
      <c r="O61" s="7">
        <v>5</v>
      </c>
      <c r="P61" s="7">
        <v>5</v>
      </c>
      <c r="Q61" s="7">
        <v>10</v>
      </c>
      <c r="R61" s="7">
        <v>2</v>
      </c>
      <c r="S61" s="7">
        <v>1</v>
      </c>
      <c r="T61" s="7">
        <v>28</v>
      </c>
      <c r="U61" s="7">
        <v>6</v>
      </c>
      <c r="V61" s="7">
        <v>1</v>
      </c>
      <c r="W61" s="8">
        <v>35</v>
      </c>
      <c r="X61" s="7">
        <v>140</v>
      </c>
      <c r="Y61" s="7">
        <v>1</v>
      </c>
      <c r="Z61" s="8">
        <v>31</v>
      </c>
      <c r="AA61" s="8">
        <v>1</v>
      </c>
      <c r="AB61" s="8">
        <v>1</v>
      </c>
      <c r="AC61" s="7">
        <v>1</v>
      </c>
      <c r="AD61" s="8">
        <v>1</v>
      </c>
      <c r="AE61" s="8">
        <v>1</v>
      </c>
      <c r="AF61" s="8">
        <v>1</v>
      </c>
      <c r="AG61" s="7">
        <v>28</v>
      </c>
      <c r="AH61" s="8">
        <v>1</v>
      </c>
      <c r="AI61" s="7">
        <v>24</v>
      </c>
      <c r="AJ61" s="7">
        <v>1</v>
      </c>
      <c r="AK61" s="7">
        <v>1</v>
      </c>
      <c r="AL61" s="7">
        <v>1</v>
      </c>
      <c r="AM61" s="7">
        <v>1</v>
      </c>
      <c r="AN61" s="7">
        <v>36</v>
      </c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</row>
    <row r="62" customHeight="1" spans="1:69">
      <c r="A62" s="9" t="s">
        <v>151</v>
      </c>
      <c r="B62" s="6" t="s">
        <v>209</v>
      </c>
      <c r="C62" s="6" t="s">
        <v>153</v>
      </c>
      <c r="D62" s="6">
        <v>1797</v>
      </c>
      <c r="E62" s="6" t="s">
        <v>210</v>
      </c>
      <c r="F62" s="6">
        <v>6</v>
      </c>
      <c r="G62" s="6">
        <v>2</v>
      </c>
      <c r="H62" s="7">
        <v>1</v>
      </c>
      <c r="I62" s="7">
        <v>1</v>
      </c>
      <c r="J62" s="7">
        <v>1</v>
      </c>
      <c r="K62" s="7">
        <v>1</v>
      </c>
      <c r="L62" s="7">
        <v>1837</v>
      </c>
      <c r="M62" s="7">
        <v>1</v>
      </c>
      <c r="N62" s="7">
        <v>1</v>
      </c>
      <c r="O62" s="7">
        <v>10</v>
      </c>
      <c r="P62" s="7">
        <v>4</v>
      </c>
      <c r="Q62" s="7">
        <v>10</v>
      </c>
      <c r="R62" s="7">
        <v>1</v>
      </c>
      <c r="S62" s="7">
        <v>1</v>
      </c>
      <c r="T62" s="7">
        <v>22</v>
      </c>
      <c r="U62" s="7">
        <v>6</v>
      </c>
      <c r="V62" s="7">
        <v>1</v>
      </c>
      <c r="W62" s="8">
        <v>20</v>
      </c>
      <c r="X62" s="7">
        <v>110</v>
      </c>
      <c r="Y62" s="7">
        <v>1</v>
      </c>
      <c r="Z62" s="8">
        <v>22</v>
      </c>
      <c r="AA62" s="8">
        <v>1</v>
      </c>
      <c r="AB62" s="8">
        <v>1</v>
      </c>
      <c r="AC62" s="7">
        <v>1</v>
      </c>
      <c r="AD62" s="8">
        <v>1</v>
      </c>
      <c r="AE62" s="8">
        <v>1</v>
      </c>
      <c r="AF62" s="8">
        <v>1</v>
      </c>
      <c r="AG62" s="7">
        <v>22</v>
      </c>
      <c r="AH62" s="8">
        <v>1</v>
      </c>
      <c r="AI62" s="7">
        <v>11</v>
      </c>
      <c r="AJ62" s="7">
        <v>1</v>
      </c>
      <c r="AK62" s="7">
        <v>1</v>
      </c>
      <c r="AL62" s="7">
        <v>1</v>
      </c>
      <c r="AM62" s="7">
        <v>1</v>
      </c>
      <c r="AN62" s="7">
        <v>18</v>
      </c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</row>
    <row r="63" customHeight="1" spans="1:69">
      <c r="A63" s="6" t="s">
        <v>145</v>
      </c>
      <c r="B63" s="27" t="s">
        <v>211</v>
      </c>
      <c r="C63" s="6" t="s">
        <v>149</v>
      </c>
      <c r="D63" s="6">
        <v>106</v>
      </c>
      <c r="E63" s="6">
        <v>2</v>
      </c>
      <c r="F63" s="6">
        <v>2</v>
      </c>
      <c r="G63" s="6">
        <v>1</v>
      </c>
      <c r="H63" s="28">
        <v>1</v>
      </c>
      <c r="I63" s="28">
        <v>1</v>
      </c>
      <c r="J63" s="28">
        <v>1</v>
      </c>
      <c r="K63" s="28">
        <v>1</v>
      </c>
      <c r="L63" s="28">
        <v>105</v>
      </c>
      <c r="M63" s="28">
        <v>1</v>
      </c>
      <c r="N63" s="28">
        <v>0</v>
      </c>
      <c r="O63" s="28">
        <v>5</v>
      </c>
      <c r="P63" s="28">
        <v>1</v>
      </c>
      <c r="Q63" s="28">
        <v>5</v>
      </c>
      <c r="R63" s="28">
        <v>1</v>
      </c>
      <c r="S63" s="28">
        <v>1</v>
      </c>
      <c r="T63" s="28">
        <v>2</v>
      </c>
      <c r="U63" s="28">
        <v>2</v>
      </c>
      <c r="V63" s="28">
        <v>1</v>
      </c>
      <c r="W63" s="28">
        <v>1</v>
      </c>
      <c r="X63" s="28">
        <v>10</v>
      </c>
      <c r="Y63" s="28">
        <v>1</v>
      </c>
      <c r="Z63" s="28">
        <v>2</v>
      </c>
      <c r="AA63" s="28">
        <v>1</v>
      </c>
      <c r="AB63" s="28">
        <v>1</v>
      </c>
      <c r="AC63" s="28">
        <v>1</v>
      </c>
      <c r="AD63" s="28">
        <v>1</v>
      </c>
      <c r="AE63" s="28">
        <v>1</v>
      </c>
      <c r="AF63" s="28">
        <v>1</v>
      </c>
      <c r="AG63" s="28">
        <v>2</v>
      </c>
      <c r="AH63" s="28">
        <v>1</v>
      </c>
      <c r="AI63" s="28">
        <v>1</v>
      </c>
      <c r="AJ63" s="28">
        <v>1</v>
      </c>
      <c r="AK63" s="28">
        <v>1</v>
      </c>
      <c r="AL63" s="7">
        <v>0</v>
      </c>
      <c r="AM63" s="7">
        <v>0</v>
      </c>
      <c r="AN63" s="7">
        <v>1</v>
      </c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</row>
    <row r="64" customHeight="1" spans="1:69">
      <c r="A64" s="6" t="s">
        <v>145</v>
      </c>
      <c r="B64" s="9" t="s">
        <v>212</v>
      </c>
      <c r="C64" s="6" t="s">
        <v>149</v>
      </c>
      <c r="D64" s="6">
        <v>79</v>
      </c>
      <c r="E64" s="6">
        <v>2</v>
      </c>
      <c r="F64" s="6">
        <v>2</v>
      </c>
      <c r="G64" s="6">
        <v>1</v>
      </c>
      <c r="H64" s="7">
        <v>1</v>
      </c>
      <c r="I64" s="7">
        <v>1</v>
      </c>
      <c r="J64" s="7">
        <v>1</v>
      </c>
      <c r="K64" s="7">
        <v>1</v>
      </c>
      <c r="L64" s="7">
        <v>80</v>
      </c>
      <c r="M64" s="7">
        <v>1</v>
      </c>
      <c r="N64" s="7">
        <v>1</v>
      </c>
      <c r="O64" s="7">
        <v>5</v>
      </c>
      <c r="P64" s="7">
        <v>1</v>
      </c>
      <c r="Q64" s="7">
        <v>5</v>
      </c>
      <c r="R64" s="7">
        <v>1</v>
      </c>
      <c r="S64" s="7">
        <v>1</v>
      </c>
      <c r="T64" s="7">
        <v>2</v>
      </c>
      <c r="U64" s="7">
        <v>2</v>
      </c>
      <c r="V64" s="7">
        <v>1</v>
      </c>
      <c r="W64" s="8">
        <v>1</v>
      </c>
      <c r="X64" s="7">
        <v>10</v>
      </c>
      <c r="Y64" s="7">
        <v>1</v>
      </c>
      <c r="Z64" s="8">
        <v>2</v>
      </c>
      <c r="AA64" s="8">
        <v>1</v>
      </c>
      <c r="AB64" s="8">
        <v>1</v>
      </c>
      <c r="AC64" s="7">
        <v>1</v>
      </c>
      <c r="AD64" s="8">
        <v>1</v>
      </c>
      <c r="AE64" s="8">
        <v>1</v>
      </c>
      <c r="AF64" s="8">
        <v>1</v>
      </c>
      <c r="AG64" s="7">
        <v>2</v>
      </c>
      <c r="AH64" s="8">
        <v>1</v>
      </c>
      <c r="AI64" s="7">
        <v>0</v>
      </c>
      <c r="AJ64" s="7">
        <v>1</v>
      </c>
      <c r="AK64" s="7">
        <v>0</v>
      </c>
      <c r="AL64" s="7">
        <v>0</v>
      </c>
      <c r="AM64" s="7">
        <v>0</v>
      </c>
      <c r="AN64" s="7">
        <v>1</v>
      </c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</row>
    <row r="65" customHeight="1" spans="1:69">
      <c r="A65" s="6" t="s">
        <v>145</v>
      </c>
      <c r="B65" s="6" t="s">
        <v>213</v>
      </c>
      <c r="C65" s="6" t="s">
        <v>153</v>
      </c>
      <c r="D65" s="6">
        <v>2209</v>
      </c>
      <c r="E65" s="6">
        <v>5</v>
      </c>
      <c r="F65" s="6">
        <v>6</v>
      </c>
      <c r="G65" s="6">
        <v>2</v>
      </c>
      <c r="H65" s="7">
        <v>2</v>
      </c>
      <c r="I65" s="7">
        <v>5</v>
      </c>
      <c r="J65" s="7">
        <v>1</v>
      </c>
      <c r="K65" s="7">
        <v>3</v>
      </c>
      <c r="L65" s="7">
        <v>2251</v>
      </c>
      <c r="M65" s="7">
        <v>2</v>
      </c>
      <c r="N65" s="7">
        <v>1</v>
      </c>
      <c r="O65" s="7">
        <v>20</v>
      </c>
      <c r="P65" s="7">
        <v>9</v>
      </c>
      <c r="Q65" s="7">
        <v>10</v>
      </c>
      <c r="R65" s="7">
        <v>2</v>
      </c>
      <c r="S65" s="7">
        <v>1</v>
      </c>
      <c r="T65" s="7">
        <v>34</v>
      </c>
      <c r="U65" s="7">
        <v>10</v>
      </c>
      <c r="V65" s="7">
        <v>1</v>
      </c>
      <c r="W65" s="8">
        <v>23</v>
      </c>
      <c r="X65" s="7">
        <v>170</v>
      </c>
      <c r="Y65" s="7">
        <v>1</v>
      </c>
      <c r="Z65" s="8">
        <v>26</v>
      </c>
      <c r="AA65" s="8">
        <v>1</v>
      </c>
      <c r="AB65" s="8">
        <v>1</v>
      </c>
      <c r="AC65" s="7">
        <v>1</v>
      </c>
      <c r="AD65" s="8">
        <v>1</v>
      </c>
      <c r="AE65" s="8">
        <v>1</v>
      </c>
      <c r="AF65" s="8">
        <v>1</v>
      </c>
      <c r="AG65" s="7">
        <v>34</v>
      </c>
      <c r="AH65" s="8">
        <v>1</v>
      </c>
      <c r="AI65" s="7">
        <v>17</v>
      </c>
      <c r="AJ65" s="7">
        <v>1</v>
      </c>
      <c r="AK65" s="7">
        <v>1</v>
      </c>
      <c r="AL65" s="7">
        <v>1</v>
      </c>
      <c r="AM65" s="7">
        <v>1</v>
      </c>
      <c r="AN65" s="7">
        <v>23</v>
      </c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</row>
    <row r="66" customHeight="1" spans="1:69">
      <c r="A66" s="9" t="s">
        <v>193</v>
      </c>
      <c r="B66" s="9" t="s">
        <v>214</v>
      </c>
      <c r="C66" s="6" t="s">
        <v>149</v>
      </c>
      <c r="D66" s="6">
        <v>210</v>
      </c>
      <c r="E66" s="6">
        <v>2</v>
      </c>
      <c r="F66" s="6">
        <v>2</v>
      </c>
      <c r="G66" s="6">
        <v>1</v>
      </c>
      <c r="H66" s="7">
        <v>1</v>
      </c>
      <c r="I66" s="7">
        <v>2</v>
      </c>
      <c r="J66" s="7">
        <v>1</v>
      </c>
      <c r="K66" s="7">
        <v>1</v>
      </c>
      <c r="L66" s="7">
        <v>209</v>
      </c>
      <c r="M66" s="7">
        <v>1</v>
      </c>
      <c r="N66" s="7">
        <v>0</v>
      </c>
      <c r="O66" s="7">
        <v>2</v>
      </c>
      <c r="P66" s="7">
        <v>1</v>
      </c>
      <c r="Q66" s="7">
        <v>5</v>
      </c>
      <c r="R66" s="7">
        <v>1</v>
      </c>
      <c r="S66" s="7">
        <v>1</v>
      </c>
      <c r="T66" s="7">
        <v>4</v>
      </c>
      <c r="U66" s="7">
        <v>2</v>
      </c>
      <c r="V66" s="7">
        <v>1</v>
      </c>
      <c r="W66" s="8">
        <v>2</v>
      </c>
      <c r="X66" s="7">
        <v>20</v>
      </c>
      <c r="Y66" s="7">
        <v>1</v>
      </c>
      <c r="Z66" s="8">
        <v>3</v>
      </c>
      <c r="AA66" s="8">
        <v>1</v>
      </c>
      <c r="AB66" s="8">
        <v>1</v>
      </c>
      <c r="AC66" s="7">
        <v>1</v>
      </c>
      <c r="AD66" s="8">
        <v>1</v>
      </c>
      <c r="AE66" s="8">
        <v>1</v>
      </c>
      <c r="AF66" s="8">
        <v>1</v>
      </c>
      <c r="AG66" s="7">
        <v>4</v>
      </c>
      <c r="AH66" s="8">
        <v>1</v>
      </c>
      <c r="AI66" s="7">
        <v>2</v>
      </c>
      <c r="AJ66" s="7">
        <v>1</v>
      </c>
      <c r="AK66" s="7">
        <v>1</v>
      </c>
      <c r="AL66" s="7">
        <v>1</v>
      </c>
      <c r="AM66" s="7">
        <v>1</v>
      </c>
      <c r="AN66" s="7">
        <v>3</v>
      </c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</row>
    <row r="67" customHeight="1" spans="1:69">
      <c r="A67" s="9" t="s">
        <v>193</v>
      </c>
      <c r="B67" s="9" t="s">
        <v>215</v>
      </c>
      <c r="C67" s="6" t="s">
        <v>153</v>
      </c>
      <c r="D67" s="6">
        <v>1013</v>
      </c>
      <c r="E67" s="6">
        <v>5</v>
      </c>
      <c r="F67" s="6">
        <v>6</v>
      </c>
      <c r="G67" s="6">
        <v>2</v>
      </c>
      <c r="H67" s="7">
        <v>1</v>
      </c>
      <c r="I67" s="7">
        <v>2</v>
      </c>
      <c r="J67" s="7">
        <v>1</v>
      </c>
      <c r="K67" s="7">
        <v>1</v>
      </c>
      <c r="L67" s="7">
        <v>1011</v>
      </c>
      <c r="M67" s="7">
        <v>1</v>
      </c>
      <c r="N67" s="7">
        <v>1</v>
      </c>
      <c r="O67" s="7">
        <v>5</v>
      </c>
      <c r="P67" s="7">
        <v>4</v>
      </c>
      <c r="Q67" s="7">
        <v>10</v>
      </c>
      <c r="R67" s="7">
        <v>1</v>
      </c>
      <c r="S67" s="7">
        <v>1</v>
      </c>
      <c r="T67" s="7">
        <v>18</v>
      </c>
      <c r="U67" s="7">
        <v>4</v>
      </c>
      <c r="V67" s="7">
        <v>1</v>
      </c>
      <c r="W67" s="8">
        <v>10</v>
      </c>
      <c r="X67" s="7">
        <v>90</v>
      </c>
      <c r="Y67" s="7">
        <v>1</v>
      </c>
      <c r="Z67" s="8">
        <v>14</v>
      </c>
      <c r="AA67" s="8">
        <v>1</v>
      </c>
      <c r="AB67" s="8">
        <v>1</v>
      </c>
      <c r="AC67" s="7">
        <v>1</v>
      </c>
      <c r="AD67" s="8">
        <v>1</v>
      </c>
      <c r="AE67" s="8">
        <v>1</v>
      </c>
      <c r="AF67" s="8">
        <v>1</v>
      </c>
      <c r="AG67" s="7">
        <v>18</v>
      </c>
      <c r="AH67" s="8">
        <v>1</v>
      </c>
      <c r="AI67" s="7">
        <v>9</v>
      </c>
      <c r="AJ67" s="7">
        <v>1</v>
      </c>
      <c r="AK67" s="7">
        <v>1</v>
      </c>
      <c r="AL67" s="7">
        <v>1</v>
      </c>
      <c r="AM67" s="7">
        <v>1</v>
      </c>
      <c r="AN67" s="7">
        <v>11</v>
      </c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</row>
    <row r="68" customHeight="1" spans="1:69">
      <c r="A68" s="29" t="s">
        <v>216</v>
      </c>
      <c r="B68" s="29" t="s">
        <v>217</v>
      </c>
      <c r="C68" s="29" t="s">
        <v>218</v>
      </c>
      <c r="D68" s="29" t="s">
        <v>219</v>
      </c>
      <c r="E68" s="29" t="s">
        <v>219</v>
      </c>
      <c r="F68" s="29" t="s">
        <v>219</v>
      </c>
      <c r="G68" s="29" t="s">
        <v>219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1"/>
      <c r="X68" s="30"/>
      <c r="Y68" s="30"/>
      <c r="Z68" s="31"/>
      <c r="AA68" s="31"/>
      <c r="AB68" s="31"/>
      <c r="AC68" s="30"/>
      <c r="AD68" s="31"/>
      <c r="AE68" s="31"/>
      <c r="AF68" s="31"/>
      <c r="AG68" s="30"/>
      <c r="AH68" s="31"/>
      <c r="AI68" s="30">
        <v>100</v>
      </c>
      <c r="AJ68" s="30">
        <v>8</v>
      </c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</row>
    <row r="69" customHeight="1" spans="1:69">
      <c r="A69" s="29" t="s">
        <v>220</v>
      </c>
      <c r="B69" s="29" t="s">
        <v>221</v>
      </c>
      <c r="C69" s="29" t="s">
        <v>218</v>
      </c>
      <c r="D69" s="29" t="s">
        <v>219</v>
      </c>
      <c r="E69" s="29" t="s">
        <v>219</v>
      </c>
      <c r="F69" s="29" t="s">
        <v>219</v>
      </c>
      <c r="G69" s="29" t="s">
        <v>219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1"/>
      <c r="X69" s="30"/>
      <c r="Y69" s="30"/>
      <c r="Z69" s="31"/>
      <c r="AA69" s="31"/>
      <c r="AB69" s="31"/>
      <c r="AC69" s="30"/>
      <c r="AD69" s="31"/>
      <c r="AE69" s="31"/>
      <c r="AF69" s="31"/>
      <c r="AG69" s="30"/>
      <c r="AH69" s="31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</row>
    <row r="70" customHeight="1" spans="1:69">
      <c r="A70" s="10"/>
      <c r="B70" s="10"/>
      <c r="C70" s="10"/>
      <c r="D70" s="10"/>
      <c r="E70" s="10">
        <f>SUM(E4:E67)</f>
        <v>182</v>
      </c>
      <c r="F70" s="10">
        <f t="shared" ref="F70:BQ70" si="3">SUM(F4:F67)</f>
        <v>196</v>
      </c>
      <c r="G70" s="10">
        <f t="shared" si="3"/>
        <v>73</v>
      </c>
      <c r="H70" s="10">
        <f t="shared" si="3"/>
        <v>74</v>
      </c>
      <c r="I70" s="10">
        <f t="shared" si="3"/>
        <v>130</v>
      </c>
      <c r="J70" s="10">
        <f t="shared" si="3"/>
        <v>65</v>
      </c>
      <c r="K70" s="10">
        <f t="shared" si="3"/>
        <v>75</v>
      </c>
      <c r="L70" s="10">
        <f t="shared" si="3"/>
        <v>37118</v>
      </c>
      <c r="M70" s="10">
        <f t="shared" si="3"/>
        <v>60</v>
      </c>
      <c r="N70" s="10">
        <f t="shared" si="3"/>
        <v>20</v>
      </c>
      <c r="O70" s="10">
        <f t="shared" si="3"/>
        <v>351</v>
      </c>
      <c r="P70" s="10">
        <f t="shared" si="3"/>
        <v>146</v>
      </c>
      <c r="Q70" s="10">
        <f t="shared" si="3"/>
        <v>417</v>
      </c>
      <c r="R70" s="10">
        <f t="shared" si="3"/>
        <v>72</v>
      </c>
      <c r="S70" s="10">
        <f t="shared" si="3"/>
        <v>59</v>
      </c>
      <c r="T70" s="10">
        <f t="shared" si="3"/>
        <v>499</v>
      </c>
      <c r="U70" s="10">
        <f t="shared" si="3"/>
        <v>213</v>
      </c>
      <c r="V70" s="10">
        <f t="shared" si="3"/>
        <v>64</v>
      </c>
      <c r="W70" s="10">
        <f t="shared" si="3"/>
        <v>372</v>
      </c>
      <c r="X70" s="10">
        <f t="shared" si="3"/>
        <v>2499</v>
      </c>
      <c r="Y70" s="10">
        <f t="shared" si="3"/>
        <v>60</v>
      </c>
      <c r="Z70" s="10">
        <f t="shared" si="3"/>
        <v>402</v>
      </c>
      <c r="AA70" s="10">
        <f t="shared" si="3"/>
        <v>61</v>
      </c>
      <c r="AB70" s="10">
        <f t="shared" si="3"/>
        <v>62</v>
      </c>
      <c r="AC70" s="10">
        <f t="shared" si="3"/>
        <v>55</v>
      </c>
      <c r="AD70" s="10">
        <f t="shared" si="3"/>
        <v>64</v>
      </c>
      <c r="AE70" s="10">
        <f t="shared" si="3"/>
        <v>63</v>
      </c>
      <c r="AF70" s="10">
        <f t="shared" si="3"/>
        <v>61</v>
      </c>
      <c r="AG70" s="10">
        <f t="shared" si="3"/>
        <v>533</v>
      </c>
      <c r="AH70" s="10">
        <f t="shared" si="3"/>
        <v>60</v>
      </c>
      <c r="AI70" s="10">
        <f t="shared" si="3"/>
        <v>311</v>
      </c>
      <c r="AJ70" s="10">
        <f t="shared" si="3"/>
        <v>61</v>
      </c>
      <c r="AK70" s="10">
        <f t="shared" si="3"/>
        <v>44</v>
      </c>
      <c r="AL70" s="10">
        <f t="shared" si="3"/>
        <v>35</v>
      </c>
      <c r="AM70" s="10">
        <f t="shared" si="3"/>
        <v>35</v>
      </c>
      <c r="AN70" s="10">
        <f t="shared" si="3"/>
        <v>401</v>
      </c>
      <c r="AO70" s="10">
        <f t="shared" si="3"/>
        <v>0</v>
      </c>
      <c r="AP70" s="10">
        <f t="shared" si="3"/>
        <v>0</v>
      </c>
      <c r="AQ70" s="10">
        <f t="shared" si="3"/>
        <v>0</v>
      </c>
      <c r="AR70" s="10">
        <f t="shared" si="3"/>
        <v>0</v>
      </c>
      <c r="AS70" s="10">
        <f t="shared" si="3"/>
        <v>0</v>
      </c>
      <c r="AT70" s="10">
        <f t="shared" si="3"/>
        <v>0</v>
      </c>
      <c r="AU70" s="10">
        <f t="shared" si="3"/>
        <v>0</v>
      </c>
      <c r="AV70" s="10">
        <f t="shared" si="3"/>
        <v>0</v>
      </c>
      <c r="AW70" s="10">
        <f t="shared" si="3"/>
        <v>0</v>
      </c>
      <c r="AX70" s="10">
        <f t="shared" si="3"/>
        <v>0</v>
      </c>
      <c r="AY70" s="10">
        <f t="shared" si="3"/>
        <v>0</v>
      </c>
      <c r="AZ70" s="10">
        <f t="shared" si="3"/>
        <v>0</v>
      </c>
      <c r="BA70" s="10">
        <f t="shared" si="3"/>
        <v>0</v>
      </c>
      <c r="BB70" s="10">
        <f t="shared" si="3"/>
        <v>0</v>
      </c>
      <c r="BC70" s="10">
        <f t="shared" si="3"/>
        <v>0</v>
      </c>
      <c r="BD70" s="10">
        <f t="shared" si="3"/>
        <v>0</v>
      </c>
      <c r="BE70" s="10">
        <f t="shared" si="3"/>
        <v>0</v>
      </c>
      <c r="BF70" s="10">
        <f t="shared" si="3"/>
        <v>0</v>
      </c>
      <c r="BG70" s="10">
        <f t="shared" si="3"/>
        <v>0</v>
      </c>
      <c r="BH70" s="10">
        <f t="shared" si="3"/>
        <v>0</v>
      </c>
      <c r="BI70" s="10">
        <f t="shared" si="3"/>
        <v>0</v>
      </c>
      <c r="BJ70" s="10">
        <f t="shared" si="3"/>
        <v>0</v>
      </c>
      <c r="BK70" s="10">
        <f t="shared" si="3"/>
        <v>0</v>
      </c>
      <c r="BL70" s="10">
        <f t="shared" si="3"/>
        <v>0</v>
      </c>
      <c r="BM70" s="10">
        <f t="shared" si="3"/>
        <v>0</v>
      </c>
      <c r="BN70" s="10">
        <f t="shared" si="3"/>
        <v>0</v>
      </c>
      <c r="BO70" s="10">
        <f t="shared" si="3"/>
        <v>0</v>
      </c>
      <c r="BP70" s="10">
        <f t="shared" si="3"/>
        <v>0</v>
      </c>
      <c r="BQ70" s="10">
        <f t="shared" si="3"/>
        <v>0</v>
      </c>
    </row>
    <row r="71" customHeight="1" spans="1:69">
      <c r="A71" s="10"/>
      <c r="B71" s="10"/>
      <c r="C71" s="10"/>
      <c r="D71" s="10"/>
      <c r="E71" s="10"/>
      <c r="F71" s="10"/>
      <c r="G71" s="10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3"/>
      <c r="X71" s="32"/>
      <c r="Y71" s="32"/>
      <c r="Z71" s="33"/>
      <c r="AA71" s="33"/>
      <c r="AB71" s="33"/>
      <c r="AC71" s="32"/>
      <c r="AD71" s="33"/>
      <c r="AE71" s="33"/>
      <c r="AF71" s="33"/>
      <c r="AG71" s="32"/>
      <c r="AH71" s="33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</row>
    <row r="72" customHeight="1" spans="1:69">
      <c r="A72" s="9" t="s">
        <v>222</v>
      </c>
      <c r="B72" s="9" t="s">
        <v>223</v>
      </c>
      <c r="C72" s="6"/>
      <c r="D72" s="6">
        <v>37131</v>
      </c>
      <c r="E72" s="11">
        <v>185</v>
      </c>
      <c r="F72" s="12">
        <v>55</v>
      </c>
      <c r="G72" s="12">
        <v>45</v>
      </c>
      <c r="H72" s="13">
        <v>21</v>
      </c>
      <c r="I72" s="13">
        <v>206</v>
      </c>
      <c r="J72" s="13">
        <v>50</v>
      </c>
      <c r="K72" s="13">
        <v>96</v>
      </c>
      <c r="L72" s="13">
        <v>2497</v>
      </c>
      <c r="M72" s="13">
        <v>2</v>
      </c>
      <c r="N72" s="14">
        <v>0</v>
      </c>
      <c r="O72" s="13">
        <v>182</v>
      </c>
      <c r="P72" s="13">
        <v>187</v>
      </c>
      <c r="Q72" s="13">
        <v>180</v>
      </c>
      <c r="R72" s="13">
        <v>24</v>
      </c>
      <c r="S72" s="13">
        <v>2</v>
      </c>
      <c r="T72" s="13">
        <v>1023</v>
      </c>
      <c r="U72" s="13">
        <v>62</v>
      </c>
      <c r="V72" s="13">
        <v>27</v>
      </c>
      <c r="W72" s="14">
        <v>307</v>
      </c>
      <c r="X72" s="14">
        <v>5470</v>
      </c>
      <c r="Y72" s="14">
        <v>1</v>
      </c>
      <c r="Z72" s="13">
        <v>289</v>
      </c>
      <c r="AA72" s="13">
        <v>1</v>
      </c>
      <c r="AB72" s="13">
        <v>41</v>
      </c>
      <c r="AC72" s="14">
        <v>46</v>
      </c>
      <c r="AD72" s="14">
        <v>44</v>
      </c>
      <c r="AE72" s="13">
        <v>27</v>
      </c>
      <c r="AF72" s="13">
        <v>24</v>
      </c>
      <c r="AG72" s="14">
        <v>694</v>
      </c>
      <c r="AH72" s="13">
        <v>44</v>
      </c>
      <c r="AI72" s="13">
        <v>426</v>
      </c>
      <c r="AJ72" s="13">
        <v>37</v>
      </c>
      <c r="AK72" s="13">
        <v>24</v>
      </c>
      <c r="AL72" s="13">
        <v>46</v>
      </c>
      <c r="AM72" s="13">
        <v>41</v>
      </c>
      <c r="AN72" s="13">
        <v>20</v>
      </c>
      <c r="AO72" s="13">
        <v>11</v>
      </c>
      <c r="AP72" s="14">
        <v>36</v>
      </c>
      <c r="AQ72" s="14">
        <v>43</v>
      </c>
      <c r="AR72" s="14">
        <v>0</v>
      </c>
      <c r="AS72" s="14">
        <v>24</v>
      </c>
      <c r="AT72" s="14">
        <v>29</v>
      </c>
      <c r="AU72" s="14">
        <v>19</v>
      </c>
      <c r="AV72" s="13">
        <v>14</v>
      </c>
      <c r="AW72" s="13">
        <v>49</v>
      </c>
      <c r="AX72" s="14">
        <v>2</v>
      </c>
      <c r="AY72" s="13">
        <v>14</v>
      </c>
      <c r="AZ72" s="13">
        <v>4</v>
      </c>
      <c r="BA72" s="13">
        <v>6</v>
      </c>
      <c r="BB72" s="13">
        <v>14</v>
      </c>
      <c r="BC72" s="13">
        <v>6</v>
      </c>
      <c r="BD72" s="14">
        <v>148</v>
      </c>
      <c r="BE72" s="14">
        <v>45</v>
      </c>
      <c r="BF72" s="13">
        <v>27</v>
      </c>
      <c r="BG72" s="13">
        <v>11</v>
      </c>
      <c r="BH72" s="14">
        <v>52</v>
      </c>
      <c r="BI72" s="14">
        <v>35</v>
      </c>
      <c r="BJ72" s="14">
        <v>83</v>
      </c>
      <c r="BK72" s="14">
        <v>89</v>
      </c>
      <c r="BL72" s="13">
        <v>80</v>
      </c>
      <c r="BM72" s="13">
        <v>49</v>
      </c>
      <c r="BN72" s="13">
        <v>93</v>
      </c>
      <c r="BO72" s="14">
        <v>28</v>
      </c>
      <c r="BP72" s="14">
        <v>18</v>
      </c>
      <c r="BQ72" s="14">
        <v>11</v>
      </c>
    </row>
    <row r="73" customHeight="1" spans="1:69">
      <c r="A73" s="34" t="s">
        <v>224</v>
      </c>
      <c r="B73" s="34"/>
      <c r="C73" s="34"/>
      <c r="D73" s="34"/>
      <c r="E73" s="35">
        <v>185</v>
      </c>
      <c r="F73" s="35">
        <v>49</v>
      </c>
      <c r="G73" s="36"/>
      <c r="H73" s="37">
        <v>14</v>
      </c>
      <c r="I73" s="37">
        <v>98</v>
      </c>
      <c r="J73" s="37">
        <v>40</v>
      </c>
      <c r="K73" s="37">
        <v>90</v>
      </c>
      <c r="L73" s="37">
        <v>2219</v>
      </c>
      <c r="M73" s="37">
        <v>5</v>
      </c>
      <c r="N73" s="37">
        <v>0</v>
      </c>
      <c r="O73" s="37">
        <v>110</v>
      </c>
      <c r="P73" s="37">
        <v>162</v>
      </c>
      <c r="Q73" s="37">
        <v>230</v>
      </c>
      <c r="R73" s="37">
        <v>20</v>
      </c>
      <c r="S73" s="37">
        <v>1</v>
      </c>
      <c r="T73" s="37">
        <v>933</v>
      </c>
      <c r="U73" s="37">
        <v>50</v>
      </c>
      <c r="V73" s="37">
        <v>28</v>
      </c>
      <c r="W73" s="37">
        <v>307</v>
      </c>
      <c r="X73" s="37">
        <v>5470</v>
      </c>
      <c r="Y73" s="37">
        <v>1</v>
      </c>
      <c r="Z73" s="37">
        <v>177</v>
      </c>
      <c r="AA73" s="37">
        <v>0</v>
      </c>
      <c r="AB73" s="37">
        <v>38</v>
      </c>
      <c r="AC73" s="37">
        <v>46</v>
      </c>
      <c r="AD73" s="37">
        <v>44</v>
      </c>
      <c r="AE73" s="37">
        <v>24</v>
      </c>
      <c r="AF73" s="37">
        <v>22</v>
      </c>
      <c r="AG73" s="37">
        <v>694</v>
      </c>
      <c r="AH73" s="37">
        <v>35</v>
      </c>
      <c r="AI73" s="37">
        <v>28</v>
      </c>
      <c r="AJ73" s="37">
        <v>23</v>
      </c>
      <c r="AK73" s="37">
        <v>20</v>
      </c>
      <c r="AL73" s="37">
        <v>16</v>
      </c>
      <c r="AM73" s="37">
        <v>13</v>
      </c>
      <c r="AN73" s="37">
        <v>29</v>
      </c>
      <c r="AO73" s="37">
        <v>15</v>
      </c>
      <c r="AP73" s="37">
        <v>36</v>
      </c>
      <c r="AQ73" s="37">
        <v>43</v>
      </c>
      <c r="AR73" s="37">
        <v>0</v>
      </c>
      <c r="AS73" s="37">
        <v>24</v>
      </c>
      <c r="AT73" s="37">
        <v>29</v>
      </c>
      <c r="AU73" s="37">
        <v>19</v>
      </c>
      <c r="AV73" s="37">
        <v>6</v>
      </c>
      <c r="AW73" s="37">
        <v>45</v>
      </c>
      <c r="AX73" s="37">
        <v>2</v>
      </c>
      <c r="AY73" s="37">
        <v>12</v>
      </c>
      <c r="AZ73" s="37">
        <v>3</v>
      </c>
      <c r="BA73" s="37">
        <v>7</v>
      </c>
      <c r="BB73" s="37">
        <v>9</v>
      </c>
      <c r="BC73" s="37">
        <v>5</v>
      </c>
      <c r="BD73" s="37">
        <v>148</v>
      </c>
      <c r="BE73" s="37">
        <v>45</v>
      </c>
      <c r="BF73" s="37">
        <v>26</v>
      </c>
      <c r="BG73" s="37">
        <v>7</v>
      </c>
      <c r="BH73" s="37">
        <v>52</v>
      </c>
      <c r="BI73" s="37">
        <v>35</v>
      </c>
      <c r="BJ73" s="37">
        <v>83</v>
      </c>
      <c r="BK73" s="37">
        <v>89</v>
      </c>
      <c r="BL73" s="37">
        <v>78</v>
      </c>
      <c r="BM73" s="37">
        <v>44</v>
      </c>
      <c r="BN73" s="37">
        <v>92</v>
      </c>
      <c r="BO73" s="37">
        <v>28</v>
      </c>
      <c r="BP73" s="37">
        <v>18</v>
      </c>
      <c r="BQ73" s="37">
        <v>11</v>
      </c>
    </row>
  </sheetData>
  <autoFilter xmlns:etc="http://www.wps.cn/officeDocument/2017/etCustomData" ref="A3:BQ70" etc:filterBottomFollowUsedRange="0">
    <extLst/>
  </autoFilter>
  <sortState ref="A4:BO67">
    <sortCondition ref="B4:B67"/>
  </sortState>
  <mergeCells count="1">
    <mergeCell ref="A73:D73"/>
  </mergeCells>
  <conditionalFormatting sqref="AO3:BQ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abSelected="1" workbookViewId="0">
      <selection activeCell="D51" sqref="D51"/>
    </sheetView>
  </sheetViews>
  <sheetFormatPr defaultColWidth="9" defaultRowHeight="15" outlineLevelCol="4"/>
  <cols>
    <col min="1" max="1" width="12.247619047619" customWidth="1"/>
    <col min="2" max="2" width="40.6285714285714" style="15" customWidth="1"/>
    <col min="3" max="3" width="24.3714285714286" customWidth="1"/>
    <col min="4" max="4" width="8.5047619047619" customWidth="1"/>
    <col min="5" max="5" width="10.5047619047619" customWidth="1"/>
  </cols>
  <sheetData>
    <row r="1" spans="1:5">
      <c r="A1" s="16" t="s">
        <v>225</v>
      </c>
      <c r="B1" s="16" t="s">
        <v>136</v>
      </c>
      <c r="C1" s="16" t="s">
        <v>226</v>
      </c>
      <c r="D1" s="16" t="s">
        <v>227</v>
      </c>
      <c r="E1" s="16" t="s">
        <v>228</v>
      </c>
    </row>
    <row r="2" spans="1:5">
      <c r="A2" s="17">
        <v>46154</v>
      </c>
      <c r="B2" s="18" t="s">
        <v>187</v>
      </c>
      <c r="C2" s="19" t="s">
        <v>66</v>
      </c>
      <c r="D2" s="20">
        <v>1</v>
      </c>
      <c r="E2" s="20">
        <v>1</v>
      </c>
    </row>
    <row r="3" spans="1:5">
      <c r="A3" s="17">
        <v>46154</v>
      </c>
      <c r="B3" s="18" t="s">
        <v>191</v>
      </c>
      <c r="C3" s="19" t="s">
        <v>66</v>
      </c>
      <c r="D3" s="20">
        <v>1</v>
      </c>
      <c r="E3" s="20">
        <v>1</v>
      </c>
    </row>
    <row r="4" spans="1:5">
      <c r="A4" s="17">
        <v>46154</v>
      </c>
      <c r="B4" s="18" t="s">
        <v>169</v>
      </c>
      <c r="C4" s="19" t="s">
        <v>24</v>
      </c>
      <c r="D4" s="20">
        <v>2</v>
      </c>
      <c r="E4" s="20">
        <v>2</v>
      </c>
    </row>
    <row r="5" spans="1:5">
      <c r="A5" s="17">
        <v>46154</v>
      </c>
      <c r="B5" s="18" t="s">
        <v>169</v>
      </c>
      <c r="C5" s="19" t="s">
        <v>8</v>
      </c>
      <c r="D5" s="20">
        <v>1</v>
      </c>
      <c r="E5" s="20">
        <v>1</v>
      </c>
    </row>
    <row r="6" spans="1:5">
      <c r="A6" s="17">
        <v>46154</v>
      </c>
      <c r="B6" s="18" t="s">
        <v>169</v>
      </c>
      <c r="C6" s="19" t="s">
        <v>121</v>
      </c>
      <c r="D6" s="20">
        <v>5</v>
      </c>
      <c r="E6" s="20">
        <v>5</v>
      </c>
    </row>
    <row r="7" spans="1:5">
      <c r="A7" s="17">
        <v>46153</v>
      </c>
      <c r="B7" s="18" t="s">
        <v>213</v>
      </c>
      <c r="C7" s="19" t="s">
        <v>48</v>
      </c>
      <c r="D7" s="20">
        <v>3</v>
      </c>
      <c r="E7" s="20">
        <v>3</v>
      </c>
    </row>
    <row r="8" spans="1:5">
      <c r="A8" s="17">
        <v>46153</v>
      </c>
      <c r="B8" s="18" t="s">
        <v>213</v>
      </c>
      <c r="C8" s="21" t="s">
        <v>62</v>
      </c>
      <c r="D8" s="20">
        <v>20</v>
      </c>
      <c r="E8" s="20">
        <v>20</v>
      </c>
    </row>
    <row r="9" spans="1:5">
      <c r="A9" s="17">
        <v>46153</v>
      </c>
      <c r="B9" s="18" t="s">
        <v>213</v>
      </c>
      <c r="C9" s="21" t="s">
        <v>56</v>
      </c>
      <c r="D9" s="20">
        <v>1</v>
      </c>
      <c r="E9" s="20">
        <v>1</v>
      </c>
    </row>
    <row r="10" ht="30" spans="1:5">
      <c r="A10" s="17">
        <v>46153</v>
      </c>
      <c r="B10" s="18" t="s">
        <v>213</v>
      </c>
      <c r="C10" s="21" t="s">
        <v>12</v>
      </c>
      <c r="D10" s="20">
        <v>1</v>
      </c>
      <c r="E10" s="20">
        <v>1</v>
      </c>
    </row>
    <row r="11" ht="30.75" customHeight="1" spans="1:5">
      <c r="A11" s="17">
        <v>46149</v>
      </c>
      <c r="B11" s="16" t="s">
        <v>180</v>
      </c>
      <c r="C11" s="21" t="s">
        <v>125</v>
      </c>
      <c r="D11" s="20">
        <v>1</v>
      </c>
      <c r="E11" s="20">
        <v>1</v>
      </c>
    </row>
    <row r="12" spans="1:5">
      <c r="A12" s="17">
        <v>46149</v>
      </c>
      <c r="B12" s="18" t="s">
        <v>180</v>
      </c>
      <c r="C12" s="21" t="s">
        <v>142</v>
      </c>
      <c r="D12" s="20">
        <v>1</v>
      </c>
      <c r="E12" s="20">
        <v>1</v>
      </c>
    </row>
    <row r="13" spans="1:5">
      <c r="A13" s="17">
        <v>46149</v>
      </c>
      <c r="B13" s="18" t="s">
        <v>180</v>
      </c>
      <c r="C13" s="21" t="s">
        <v>143</v>
      </c>
      <c r="D13" s="20">
        <v>1</v>
      </c>
      <c r="E13" s="20">
        <v>1</v>
      </c>
    </row>
    <row r="14" spans="1:5">
      <c r="A14" s="17">
        <v>46163</v>
      </c>
      <c r="B14" s="18" t="s">
        <v>181</v>
      </c>
      <c r="C14" s="21" t="s">
        <v>62</v>
      </c>
      <c r="D14" s="20">
        <v>20</v>
      </c>
      <c r="E14" s="20">
        <v>20</v>
      </c>
    </row>
    <row r="15" spans="1:5">
      <c r="A15" s="17">
        <v>46146</v>
      </c>
      <c r="B15" s="18" t="s">
        <v>213</v>
      </c>
      <c r="C15" s="21" t="s">
        <v>142</v>
      </c>
      <c r="D15" s="20">
        <v>1</v>
      </c>
      <c r="E15" s="20">
        <v>1</v>
      </c>
    </row>
    <row r="16" spans="1:5">
      <c r="A16" s="17">
        <v>46146</v>
      </c>
      <c r="B16" s="18" t="s">
        <v>213</v>
      </c>
      <c r="C16" s="21" t="s">
        <v>143</v>
      </c>
      <c r="D16" s="20">
        <v>1</v>
      </c>
      <c r="E16" s="20">
        <v>1</v>
      </c>
    </row>
    <row r="17" spans="1:5">
      <c r="A17" s="17">
        <v>46146</v>
      </c>
      <c r="B17" s="18" t="s">
        <v>213</v>
      </c>
      <c r="C17" s="21" t="s">
        <v>72</v>
      </c>
      <c r="D17" s="20">
        <v>1</v>
      </c>
      <c r="E17" s="20">
        <v>1</v>
      </c>
    </row>
    <row r="18" spans="1:5">
      <c r="A18" s="17">
        <v>46146</v>
      </c>
      <c r="B18" s="18" t="s">
        <v>185</v>
      </c>
      <c r="C18" s="21" t="s">
        <v>142</v>
      </c>
      <c r="D18" s="20">
        <v>1</v>
      </c>
      <c r="E18" s="20">
        <v>1</v>
      </c>
    </row>
    <row r="19" spans="1:5">
      <c r="A19" s="17">
        <v>46146</v>
      </c>
      <c r="B19" s="18" t="s">
        <v>185</v>
      </c>
      <c r="C19" s="21" t="s">
        <v>143</v>
      </c>
      <c r="D19" s="20">
        <v>1</v>
      </c>
      <c r="E19" s="20">
        <v>1</v>
      </c>
    </row>
    <row r="20" spans="1:5">
      <c r="A20" s="17">
        <v>46146</v>
      </c>
      <c r="B20" s="18" t="s">
        <v>184</v>
      </c>
      <c r="C20" s="21" t="s">
        <v>142</v>
      </c>
      <c r="D20" s="20">
        <v>1</v>
      </c>
      <c r="E20" s="20">
        <v>1</v>
      </c>
    </row>
    <row r="21" spans="1:5">
      <c r="A21" s="17">
        <v>46146</v>
      </c>
      <c r="B21" s="18" t="s">
        <v>184</v>
      </c>
      <c r="C21" s="21" t="s">
        <v>143</v>
      </c>
      <c r="D21" s="20">
        <v>1</v>
      </c>
      <c r="E21" s="20">
        <v>1</v>
      </c>
    </row>
    <row r="22" ht="30" spans="1:5">
      <c r="A22" s="17">
        <v>46147</v>
      </c>
      <c r="B22" s="18" t="s">
        <v>158</v>
      </c>
      <c r="C22" s="21" t="s">
        <v>12</v>
      </c>
      <c r="D22" s="20">
        <v>1</v>
      </c>
      <c r="E22" s="20">
        <v>1</v>
      </c>
    </row>
    <row r="23" ht="30" spans="1:5">
      <c r="A23" s="17">
        <v>46147</v>
      </c>
      <c r="B23" s="18" t="s">
        <v>171</v>
      </c>
      <c r="C23" s="21" t="s">
        <v>12</v>
      </c>
      <c r="D23" s="20">
        <v>1</v>
      </c>
      <c r="E23" s="20">
        <v>1</v>
      </c>
    </row>
    <row r="24" ht="30" spans="1:5">
      <c r="A24" s="17">
        <v>46147</v>
      </c>
      <c r="B24" s="18" t="s">
        <v>161</v>
      </c>
      <c r="C24" s="21" t="s">
        <v>12</v>
      </c>
      <c r="D24" s="20">
        <v>1</v>
      </c>
      <c r="E24" s="20">
        <v>1</v>
      </c>
    </row>
    <row r="25" ht="30" spans="1:5">
      <c r="A25" s="17">
        <v>46147</v>
      </c>
      <c r="B25" s="18" t="s">
        <v>173</v>
      </c>
      <c r="C25" s="21" t="s">
        <v>12</v>
      </c>
      <c r="D25" s="20">
        <v>1</v>
      </c>
      <c r="E25" s="20">
        <v>1</v>
      </c>
    </row>
    <row r="26" ht="30" spans="1:5">
      <c r="A26" s="17">
        <v>46147</v>
      </c>
      <c r="B26" s="18" t="s">
        <v>182</v>
      </c>
      <c r="C26" s="21" t="s">
        <v>12</v>
      </c>
      <c r="D26" s="20">
        <v>1</v>
      </c>
      <c r="E26" s="20">
        <v>1</v>
      </c>
    </row>
    <row r="27" ht="30" spans="1:5">
      <c r="A27" s="17">
        <v>46147</v>
      </c>
      <c r="B27" s="18" t="s">
        <v>183</v>
      </c>
      <c r="C27" s="21" t="s">
        <v>12</v>
      </c>
      <c r="D27" s="20">
        <v>1</v>
      </c>
      <c r="E27" s="20">
        <v>1</v>
      </c>
    </row>
    <row r="28" ht="30" spans="1:5">
      <c r="A28" s="17">
        <v>46149</v>
      </c>
      <c r="B28" s="18" t="s">
        <v>181</v>
      </c>
      <c r="C28" s="21" t="s">
        <v>125</v>
      </c>
      <c r="D28" s="20">
        <v>11</v>
      </c>
      <c r="E28" s="20">
        <v>11</v>
      </c>
    </row>
    <row r="29" ht="30" spans="1:5">
      <c r="A29" s="17">
        <v>46149</v>
      </c>
      <c r="B29" s="16" t="s">
        <v>211</v>
      </c>
      <c r="C29" s="21" t="s">
        <v>125</v>
      </c>
      <c r="D29" s="20">
        <v>1</v>
      </c>
      <c r="E29" s="20">
        <v>1</v>
      </c>
    </row>
    <row r="30" spans="1:5">
      <c r="A30" s="17">
        <v>46160</v>
      </c>
      <c r="B30" s="18" t="s">
        <v>213</v>
      </c>
      <c r="C30" s="21" t="s">
        <v>52</v>
      </c>
      <c r="D30" s="20">
        <v>1</v>
      </c>
      <c r="E30" s="20">
        <v>1</v>
      </c>
    </row>
    <row r="31" ht="30" spans="1:5">
      <c r="A31" s="17">
        <v>46160</v>
      </c>
      <c r="B31" s="18" t="s">
        <v>213</v>
      </c>
      <c r="C31" s="21" t="s">
        <v>60</v>
      </c>
      <c r="D31" s="20">
        <v>1</v>
      </c>
      <c r="E31" s="20">
        <v>1</v>
      </c>
    </row>
    <row r="32" spans="1:5">
      <c r="A32" s="17">
        <v>46155</v>
      </c>
      <c r="B32" s="18" t="s">
        <v>212</v>
      </c>
      <c r="C32" s="21" t="s">
        <v>142</v>
      </c>
      <c r="D32" s="20">
        <v>1</v>
      </c>
      <c r="E32" s="20">
        <v>1</v>
      </c>
    </row>
    <row r="33" spans="1:5">
      <c r="A33" s="17">
        <v>46155</v>
      </c>
      <c r="B33" s="18" t="s">
        <v>207</v>
      </c>
      <c r="C33" s="21" t="s">
        <v>142</v>
      </c>
      <c r="D33" s="20">
        <v>1</v>
      </c>
      <c r="E33" s="20">
        <v>1</v>
      </c>
    </row>
    <row r="34" spans="1:5">
      <c r="A34" s="17">
        <v>46155</v>
      </c>
      <c r="B34" s="18" t="s">
        <v>192</v>
      </c>
      <c r="C34" s="21" t="s">
        <v>142</v>
      </c>
      <c r="D34" s="20">
        <v>1</v>
      </c>
      <c r="E34" s="20">
        <v>1</v>
      </c>
    </row>
    <row r="35" spans="1:5">
      <c r="A35" s="17">
        <v>46155</v>
      </c>
      <c r="B35" s="18" t="s">
        <v>212</v>
      </c>
      <c r="C35" s="21" t="s">
        <v>143</v>
      </c>
      <c r="D35" s="20">
        <v>1</v>
      </c>
      <c r="E35" s="20">
        <v>1</v>
      </c>
    </row>
    <row r="36" spans="1:5">
      <c r="A36" s="17">
        <v>46155</v>
      </c>
      <c r="B36" s="18" t="s">
        <v>207</v>
      </c>
      <c r="C36" s="21" t="s">
        <v>143</v>
      </c>
      <c r="D36" s="20">
        <v>1</v>
      </c>
      <c r="E36" s="20">
        <v>1</v>
      </c>
    </row>
    <row r="37" spans="1:5">
      <c r="A37" s="17">
        <v>46155</v>
      </c>
      <c r="B37" s="18" t="s">
        <v>192</v>
      </c>
      <c r="C37" s="21" t="s">
        <v>143</v>
      </c>
      <c r="D37" s="20">
        <v>1</v>
      </c>
      <c r="E37" s="20">
        <v>1</v>
      </c>
    </row>
    <row r="38" ht="30" spans="1:5">
      <c r="A38" s="17">
        <v>46148</v>
      </c>
      <c r="B38" s="18" t="s">
        <v>213</v>
      </c>
      <c r="C38" s="21" t="s">
        <v>12</v>
      </c>
      <c r="D38" s="20">
        <v>1</v>
      </c>
      <c r="E38" s="20">
        <v>1</v>
      </c>
    </row>
    <row r="39" spans="1:5">
      <c r="A39" s="17">
        <v>46148</v>
      </c>
      <c r="B39" s="18" t="s">
        <v>213</v>
      </c>
      <c r="C39" s="19" t="s">
        <v>8</v>
      </c>
      <c r="D39" s="20">
        <v>2</v>
      </c>
      <c r="E39" s="20">
        <v>2</v>
      </c>
    </row>
    <row r="40" spans="1:5">
      <c r="A40" s="17">
        <v>46148</v>
      </c>
      <c r="B40" s="18" t="s">
        <v>179</v>
      </c>
      <c r="C40" s="21" t="s">
        <v>142</v>
      </c>
      <c r="D40" s="20">
        <v>1</v>
      </c>
      <c r="E40" s="20">
        <v>1</v>
      </c>
    </row>
    <row r="41" spans="1:5">
      <c r="A41" s="17">
        <v>46148</v>
      </c>
      <c r="B41" s="18" t="s">
        <v>179</v>
      </c>
      <c r="C41" s="21" t="s">
        <v>143</v>
      </c>
      <c r="D41" s="20">
        <v>1</v>
      </c>
      <c r="E41" s="20">
        <v>1</v>
      </c>
    </row>
    <row r="42" spans="1:5">
      <c r="A42" s="17">
        <v>46148</v>
      </c>
      <c r="B42" s="18" t="s">
        <v>170</v>
      </c>
      <c r="C42" s="21" t="s">
        <v>142</v>
      </c>
      <c r="D42" s="20">
        <v>1</v>
      </c>
      <c r="E42" s="20">
        <v>1</v>
      </c>
    </row>
    <row r="43" spans="1:5">
      <c r="A43" s="17">
        <v>46148</v>
      </c>
      <c r="B43" s="18" t="s">
        <v>170</v>
      </c>
      <c r="C43" s="21" t="s">
        <v>143</v>
      </c>
      <c r="D43" s="20">
        <v>1</v>
      </c>
      <c r="E43" s="20">
        <v>1</v>
      </c>
    </row>
    <row r="44" spans="1:5">
      <c r="A44" s="17">
        <v>46162</v>
      </c>
      <c r="B44" s="18" t="s">
        <v>160</v>
      </c>
      <c r="C44" s="21" t="s">
        <v>14</v>
      </c>
      <c r="D44" s="20">
        <v>1</v>
      </c>
      <c r="E44" s="20">
        <v>1</v>
      </c>
    </row>
    <row r="45" spans="1:5">
      <c r="A45" s="17">
        <v>46162</v>
      </c>
      <c r="B45" s="18" t="s">
        <v>154</v>
      </c>
      <c r="C45" s="21" t="s">
        <v>14</v>
      </c>
      <c r="D45" s="20">
        <v>1</v>
      </c>
      <c r="E45" s="20">
        <v>1</v>
      </c>
    </row>
    <row r="46" spans="1:5">
      <c r="A46" s="17">
        <v>46162</v>
      </c>
      <c r="B46" s="18" t="s">
        <v>148</v>
      </c>
      <c r="C46" s="21" t="s">
        <v>14</v>
      </c>
      <c r="D46" s="20">
        <v>1</v>
      </c>
      <c r="E46" s="20">
        <v>1</v>
      </c>
    </row>
    <row r="47" spans="1:5">
      <c r="A47" s="17">
        <v>46162</v>
      </c>
      <c r="B47" s="18" t="s">
        <v>175</v>
      </c>
      <c r="C47" s="21" t="s">
        <v>14</v>
      </c>
      <c r="D47" s="20">
        <v>1</v>
      </c>
      <c r="E47" s="20">
        <v>1</v>
      </c>
    </row>
    <row r="48" ht="30" spans="1:5">
      <c r="A48" s="17">
        <v>46162</v>
      </c>
      <c r="B48" s="18" t="s">
        <v>154</v>
      </c>
      <c r="C48" s="21" t="s">
        <v>18</v>
      </c>
      <c r="D48" s="20">
        <v>1</v>
      </c>
      <c r="E48" s="20">
        <v>1</v>
      </c>
    </row>
    <row r="49" ht="30" spans="1:5">
      <c r="A49" s="17">
        <v>46162</v>
      </c>
      <c r="B49" s="18" t="s">
        <v>175</v>
      </c>
      <c r="C49" s="21" t="s">
        <v>18</v>
      </c>
      <c r="D49" s="20">
        <v>1</v>
      </c>
      <c r="E49" s="20">
        <v>1</v>
      </c>
    </row>
    <row r="50" spans="1:5">
      <c r="A50" s="17">
        <v>46162</v>
      </c>
      <c r="B50" s="18" t="s">
        <v>165</v>
      </c>
      <c r="C50" s="21" t="s">
        <v>95</v>
      </c>
      <c r="D50" s="20">
        <v>1</v>
      </c>
      <c r="E50" s="20">
        <v>1</v>
      </c>
    </row>
    <row r="51" ht="30" spans="1:5">
      <c r="A51" s="17">
        <v>46162</v>
      </c>
      <c r="B51" s="18" t="s">
        <v>175</v>
      </c>
      <c r="C51" s="21" t="s">
        <v>54</v>
      </c>
      <c r="D51" s="20">
        <v>1</v>
      </c>
      <c r="E51" s="20">
        <v>1</v>
      </c>
    </row>
    <row r="52" ht="30" spans="1:5">
      <c r="A52" s="17">
        <v>46162</v>
      </c>
      <c r="B52" s="18" t="s">
        <v>165</v>
      </c>
      <c r="C52" s="21" t="s">
        <v>99</v>
      </c>
      <c r="D52" s="20">
        <v>1</v>
      </c>
      <c r="E52" s="20">
        <v>1</v>
      </c>
    </row>
    <row r="53" spans="1:5">
      <c r="A53" s="17">
        <v>46162</v>
      </c>
      <c r="B53" s="18" t="s">
        <v>165</v>
      </c>
      <c r="C53" s="21" t="s">
        <v>89</v>
      </c>
      <c r="D53" s="20">
        <v>2</v>
      </c>
      <c r="E53" s="20">
        <v>2</v>
      </c>
    </row>
    <row r="54" spans="1:5">
      <c r="A54" s="17">
        <v>46162</v>
      </c>
      <c r="B54" s="18" t="s">
        <v>154</v>
      </c>
      <c r="C54" s="21" t="s">
        <v>89</v>
      </c>
      <c r="D54" s="20">
        <v>1</v>
      </c>
      <c r="E54" s="20">
        <v>1</v>
      </c>
    </row>
    <row r="55" spans="1:5">
      <c r="A55" s="17">
        <v>46162</v>
      </c>
      <c r="B55" s="18" t="s">
        <v>175</v>
      </c>
      <c r="C55" s="21" t="s">
        <v>89</v>
      </c>
      <c r="D55" s="20">
        <v>1</v>
      </c>
      <c r="E55" s="20">
        <v>1</v>
      </c>
    </row>
    <row r="56" spans="1:5">
      <c r="A56" s="17">
        <v>46162</v>
      </c>
      <c r="B56" s="18" t="s">
        <v>154</v>
      </c>
      <c r="C56" s="21" t="s">
        <v>87</v>
      </c>
      <c r="D56" s="20">
        <v>1</v>
      </c>
      <c r="E56" s="20">
        <v>1</v>
      </c>
    </row>
    <row r="57" spans="1:5">
      <c r="A57" s="17">
        <v>46162</v>
      </c>
      <c r="B57" s="18" t="s">
        <v>175</v>
      </c>
      <c r="C57" s="21" t="s">
        <v>87</v>
      </c>
      <c r="D57" s="20">
        <v>1</v>
      </c>
      <c r="E57" s="20">
        <v>1</v>
      </c>
    </row>
    <row r="58" spans="1:5">
      <c r="A58" s="17">
        <v>46162</v>
      </c>
      <c r="B58" s="18" t="s">
        <v>165</v>
      </c>
      <c r="C58" s="21" t="s">
        <v>87</v>
      </c>
      <c r="D58" s="20">
        <v>1</v>
      </c>
      <c r="E58" s="20">
        <v>1</v>
      </c>
    </row>
    <row r="59" spans="1:5">
      <c r="A59" s="17">
        <v>46162</v>
      </c>
      <c r="B59" s="18" t="s">
        <v>148</v>
      </c>
      <c r="C59" s="21" t="s">
        <v>87</v>
      </c>
      <c r="D59" s="20">
        <v>1</v>
      </c>
      <c r="E59" s="20">
        <v>1</v>
      </c>
    </row>
    <row r="60" spans="1:5">
      <c r="A60" s="17">
        <v>46162</v>
      </c>
      <c r="B60" s="18" t="s">
        <v>165</v>
      </c>
      <c r="C60" s="21" t="s">
        <v>52</v>
      </c>
      <c r="D60" s="20">
        <v>2</v>
      </c>
      <c r="E60" s="20">
        <v>2</v>
      </c>
    </row>
    <row r="61" spans="1:5">
      <c r="A61" s="17">
        <v>46162</v>
      </c>
      <c r="B61" s="18" t="s">
        <v>175</v>
      </c>
      <c r="C61" s="21" t="s">
        <v>142</v>
      </c>
      <c r="D61" s="20">
        <v>1</v>
      </c>
      <c r="E61" s="20">
        <v>1</v>
      </c>
    </row>
    <row r="62" spans="1:5">
      <c r="A62" s="17">
        <v>46162</v>
      </c>
      <c r="B62" s="18" t="s">
        <v>154</v>
      </c>
      <c r="C62" s="21" t="s">
        <v>142</v>
      </c>
      <c r="D62" s="20">
        <v>1</v>
      </c>
      <c r="E62" s="20">
        <v>1</v>
      </c>
    </row>
    <row r="63" spans="1:5">
      <c r="A63" s="17">
        <v>46162</v>
      </c>
      <c r="B63" s="18" t="s">
        <v>172</v>
      </c>
      <c r="C63" s="21" t="s">
        <v>142</v>
      </c>
      <c r="D63" s="20">
        <v>1</v>
      </c>
      <c r="E63" s="20">
        <v>1</v>
      </c>
    </row>
    <row r="64" spans="1:5">
      <c r="A64" s="17">
        <v>46162</v>
      </c>
      <c r="B64" s="18" t="s">
        <v>206</v>
      </c>
      <c r="C64" s="21" t="s">
        <v>142</v>
      </c>
      <c r="D64" s="20">
        <v>1</v>
      </c>
      <c r="E64" s="20">
        <v>1</v>
      </c>
    </row>
    <row r="65" spans="1:5">
      <c r="A65" s="17">
        <v>46162</v>
      </c>
      <c r="B65" s="18" t="s">
        <v>175</v>
      </c>
      <c r="C65" s="21" t="s">
        <v>143</v>
      </c>
      <c r="D65" s="20">
        <v>1</v>
      </c>
      <c r="E65" s="20">
        <v>1</v>
      </c>
    </row>
    <row r="66" spans="1:5">
      <c r="A66" s="17">
        <v>46162</v>
      </c>
      <c r="B66" s="18" t="s">
        <v>154</v>
      </c>
      <c r="C66" s="21" t="s">
        <v>143</v>
      </c>
      <c r="D66" s="20">
        <v>1</v>
      </c>
      <c r="E66" s="20">
        <v>1</v>
      </c>
    </row>
    <row r="67" spans="1:5">
      <c r="A67" s="17">
        <v>46162</v>
      </c>
      <c r="B67" s="18" t="s">
        <v>172</v>
      </c>
      <c r="C67" s="21" t="s">
        <v>143</v>
      </c>
      <c r="D67" s="20">
        <v>1</v>
      </c>
      <c r="E67" s="20">
        <v>1</v>
      </c>
    </row>
    <row r="68" spans="1:5">
      <c r="A68" s="17">
        <v>46162</v>
      </c>
      <c r="B68" s="18" t="s">
        <v>206</v>
      </c>
      <c r="C68" s="21" t="s">
        <v>143</v>
      </c>
      <c r="D68" s="20">
        <v>1</v>
      </c>
      <c r="E68" s="20">
        <v>1</v>
      </c>
    </row>
    <row r="69" ht="30" spans="1:5">
      <c r="A69" s="17">
        <v>46162</v>
      </c>
      <c r="B69" s="18" t="s">
        <v>165</v>
      </c>
      <c r="C69" s="21" t="s">
        <v>30</v>
      </c>
      <c r="D69" s="20">
        <v>1</v>
      </c>
      <c r="E69" s="20">
        <v>1</v>
      </c>
    </row>
    <row r="70" ht="30" spans="1:5">
      <c r="A70" s="17">
        <v>46149</v>
      </c>
      <c r="B70" s="18" t="s">
        <v>150</v>
      </c>
      <c r="C70" s="21" t="s">
        <v>125</v>
      </c>
      <c r="D70" s="20">
        <v>9</v>
      </c>
      <c r="E70" s="20">
        <v>9</v>
      </c>
    </row>
    <row r="71" spans="1:5">
      <c r="A71" s="17">
        <v>46149</v>
      </c>
      <c r="B71" s="18" t="s">
        <v>150</v>
      </c>
      <c r="C71" s="21" t="s">
        <v>142</v>
      </c>
      <c r="D71" s="20">
        <v>1</v>
      </c>
      <c r="E71" s="20">
        <v>1</v>
      </c>
    </row>
    <row r="72" spans="1:5">
      <c r="A72" s="17">
        <v>46149</v>
      </c>
      <c r="B72" s="18" t="s">
        <v>150</v>
      </c>
      <c r="C72" s="21" t="s">
        <v>143</v>
      </c>
      <c r="D72" s="20">
        <v>1</v>
      </c>
      <c r="E72" s="20">
        <v>1</v>
      </c>
    </row>
    <row r="73" spans="1:5">
      <c r="A73" s="17">
        <v>46163</v>
      </c>
      <c r="B73" s="18" t="s">
        <v>190</v>
      </c>
      <c r="C73" s="21" t="s">
        <v>62</v>
      </c>
      <c r="D73" s="20">
        <v>30</v>
      </c>
      <c r="E73" s="20">
        <v>30</v>
      </c>
    </row>
    <row r="74" spans="1:5">
      <c r="A74" s="17">
        <v>46155</v>
      </c>
      <c r="B74" s="18" t="s">
        <v>159</v>
      </c>
      <c r="C74" s="21" t="s">
        <v>34</v>
      </c>
      <c r="D74" s="20">
        <v>1</v>
      </c>
      <c r="E74" s="20">
        <v>1</v>
      </c>
    </row>
    <row r="75" spans="1:5">
      <c r="A75" s="17">
        <v>46155</v>
      </c>
      <c r="B75" s="18" t="s">
        <v>159</v>
      </c>
      <c r="C75" s="21" t="s">
        <v>10</v>
      </c>
      <c r="D75" s="20">
        <v>10</v>
      </c>
      <c r="E75" s="20">
        <v>10</v>
      </c>
    </row>
    <row r="76" spans="1:5">
      <c r="A76" s="17">
        <v>46163</v>
      </c>
      <c r="B76" s="18" t="s">
        <v>159</v>
      </c>
      <c r="C76" s="21" t="s">
        <v>62</v>
      </c>
      <c r="D76" s="20">
        <v>30</v>
      </c>
      <c r="E76" s="20">
        <v>30</v>
      </c>
    </row>
    <row r="77" spans="1:5">
      <c r="A77" s="17">
        <v>46163</v>
      </c>
      <c r="B77" s="18" t="s">
        <v>159</v>
      </c>
      <c r="C77" s="21" t="s">
        <v>62</v>
      </c>
      <c r="D77" s="20">
        <v>15</v>
      </c>
      <c r="E77" s="20">
        <v>15</v>
      </c>
    </row>
    <row r="78" ht="30" spans="1:5">
      <c r="A78" s="17">
        <v>46176</v>
      </c>
      <c r="B78" s="18" t="s">
        <v>146</v>
      </c>
      <c r="C78" s="21" t="s">
        <v>38</v>
      </c>
      <c r="D78" s="20">
        <v>1</v>
      </c>
      <c r="E78" s="20">
        <v>1</v>
      </c>
    </row>
    <row r="79" ht="30" spans="1:5">
      <c r="A79" s="17">
        <v>46176</v>
      </c>
      <c r="B79" s="18" t="s">
        <v>146</v>
      </c>
      <c r="C79" s="21" t="s">
        <v>44</v>
      </c>
      <c r="D79" s="20">
        <v>2</v>
      </c>
      <c r="E79" s="20">
        <v>2</v>
      </c>
    </row>
    <row r="80" ht="30" spans="1:5">
      <c r="A80" s="17">
        <v>46175</v>
      </c>
      <c r="B80" s="18" t="s">
        <v>213</v>
      </c>
      <c r="C80" s="21" t="s">
        <v>99</v>
      </c>
      <c r="D80" s="20">
        <v>1</v>
      </c>
      <c r="E80" s="20">
        <v>1</v>
      </c>
    </row>
    <row r="81" ht="30" spans="1:5">
      <c r="A81" s="17">
        <v>46175</v>
      </c>
      <c r="B81" s="18" t="s">
        <v>213</v>
      </c>
      <c r="C81" s="21" t="s">
        <v>60</v>
      </c>
      <c r="D81" s="20">
        <v>1</v>
      </c>
      <c r="E81" s="20">
        <v>1</v>
      </c>
    </row>
    <row r="82" ht="30" spans="1:5">
      <c r="A82" s="17">
        <v>46175</v>
      </c>
      <c r="B82" s="18" t="s">
        <v>213</v>
      </c>
      <c r="C82" s="21" t="s">
        <v>44</v>
      </c>
      <c r="D82" s="20">
        <v>5</v>
      </c>
      <c r="E82" s="20">
        <v>5</v>
      </c>
    </row>
    <row r="83" spans="1:5">
      <c r="A83" s="17">
        <v>46175</v>
      </c>
      <c r="B83" s="18" t="s">
        <v>213</v>
      </c>
      <c r="C83" s="18" t="s">
        <v>207</v>
      </c>
      <c r="D83" s="20">
        <v>5</v>
      </c>
      <c r="E83" s="20">
        <v>5</v>
      </c>
    </row>
    <row r="84" spans="1:5">
      <c r="A84" s="17">
        <v>46175</v>
      </c>
      <c r="B84" s="18" t="s">
        <v>213</v>
      </c>
      <c r="C84" s="21" t="s">
        <v>14</v>
      </c>
      <c r="D84" s="20">
        <v>1</v>
      </c>
      <c r="E84" s="20">
        <v>1</v>
      </c>
    </row>
    <row r="85" spans="1:5">
      <c r="A85" s="17">
        <v>46175</v>
      </c>
      <c r="B85" s="18" t="s">
        <v>213</v>
      </c>
      <c r="C85" s="21" t="s">
        <v>62</v>
      </c>
      <c r="D85" s="20">
        <v>20</v>
      </c>
      <c r="E85" s="20">
        <v>20</v>
      </c>
    </row>
    <row r="86" spans="1:5">
      <c r="A86" s="17">
        <v>46175</v>
      </c>
      <c r="B86" s="18" t="s">
        <v>213</v>
      </c>
      <c r="C86" s="21" t="s">
        <v>107</v>
      </c>
      <c r="D86" s="20">
        <v>1</v>
      </c>
      <c r="E86" s="20">
        <v>1</v>
      </c>
    </row>
    <row r="87" ht="30" spans="1:5">
      <c r="A87" s="17">
        <v>46177</v>
      </c>
      <c r="B87" s="18" t="s">
        <v>159</v>
      </c>
      <c r="C87" s="21" t="s">
        <v>44</v>
      </c>
      <c r="D87" s="20">
        <v>7</v>
      </c>
      <c r="E87" s="20">
        <v>7</v>
      </c>
    </row>
    <row r="88" ht="30" spans="1:5">
      <c r="A88" s="17">
        <v>46177</v>
      </c>
      <c r="B88" s="18" t="s">
        <v>159</v>
      </c>
      <c r="C88" s="21" t="s">
        <v>32</v>
      </c>
      <c r="D88" s="20">
        <v>5</v>
      </c>
      <c r="E88" s="20">
        <v>5</v>
      </c>
    </row>
    <row r="89" spans="1:5">
      <c r="A89" s="17">
        <v>46177</v>
      </c>
      <c r="B89" s="18" t="s">
        <v>159</v>
      </c>
      <c r="C89" s="21" t="s">
        <v>22</v>
      </c>
      <c r="D89" s="20">
        <v>15</v>
      </c>
      <c r="E89" s="20">
        <v>15</v>
      </c>
    </row>
    <row r="90" spans="1:5">
      <c r="A90" s="17">
        <v>46177</v>
      </c>
      <c r="B90" s="18" t="s">
        <v>159</v>
      </c>
      <c r="C90" s="21" t="s">
        <v>87</v>
      </c>
      <c r="D90" s="20">
        <v>15</v>
      </c>
      <c r="E90" s="20">
        <v>15</v>
      </c>
    </row>
    <row r="91" spans="1:5">
      <c r="A91" s="17">
        <v>46177</v>
      </c>
      <c r="B91" s="18" t="s">
        <v>159</v>
      </c>
      <c r="C91" s="21" t="s">
        <v>62</v>
      </c>
      <c r="D91" s="20">
        <v>10</v>
      </c>
      <c r="E91" s="20">
        <v>10</v>
      </c>
    </row>
    <row r="92" spans="1:5">
      <c r="A92" s="17">
        <v>46121</v>
      </c>
      <c r="B92" s="18" t="s">
        <v>213</v>
      </c>
      <c r="C92" s="21" t="s">
        <v>24</v>
      </c>
      <c r="D92" s="20">
        <v>4</v>
      </c>
      <c r="E92" s="20">
        <v>4</v>
      </c>
    </row>
    <row r="93" spans="1:5">
      <c r="A93" s="17">
        <v>46134</v>
      </c>
      <c r="B93" s="18" t="s">
        <v>213</v>
      </c>
      <c r="C93" s="21" t="s">
        <v>22</v>
      </c>
      <c r="D93" s="20">
        <v>10</v>
      </c>
      <c r="E93" s="20">
        <v>10</v>
      </c>
    </row>
    <row r="94" spans="1:5">
      <c r="A94" s="17">
        <v>46120</v>
      </c>
      <c r="B94" s="18" t="s">
        <v>159</v>
      </c>
      <c r="C94" s="21" t="s">
        <v>24</v>
      </c>
      <c r="D94" s="20">
        <v>4</v>
      </c>
      <c r="E94" s="20">
        <v>4</v>
      </c>
    </row>
    <row r="95" spans="1:5">
      <c r="A95" s="17">
        <v>46136</v>
      </c>
      <c r="B95" s="18" t="s">
        <v>169</v>
      </c>
      <c r="C95" s="21" t="s">
        <v>62</v>
      </c>
      <c r="D95" s="20">
        <v>50</v>
      </c>
      <c r="E95" s="20">
        <v>50</v>
      </c>
    </row>
    <row r="96" spans="1:5">
      <c r="A96" s="17">
        <v>46139</v>
      </c>
      <c r="B96" s="18" t="s">
        <v>172</v>
      </c>
      <c r="C96" s="21" t="s">
        <v>14</v>
      </c>
      <c r="D96" s="20">
        <v>1</v>
      </c>
      <c r="E96" s="20">
        <v>1</v>
      </c>
    </row>
    <row r="97" spans="1:5">
      <c r="A97" s="17">
        <v>46139</v>
      </c>
      <c r="B97" s="18" t="s">
        <v>172</v>
      </c>
      <c r="C97" s="21" t="s">
        <v>56</v>
      </c>
      <c r="D97" s="20">
        <v>1</v>
      </c>
      <c r="E97" s="20">
        <v>1</v>
      </c>
    </row>
    <row r="98" spans="1:5">
      <c r="A98" s="17">
        <v>46139</v>
      </c>
      <c r="B98" s="18" t="s">
        <v>172</v>
      </c>
      <c r="C98" s="21" t="s">
        <v>62</v>
      </c>
      <c r="D98" s="20">
        <v>1</v>
      </c>
      <c r="E98" s="20">
        <v>1</v>
      </c>
    </row>
    <row r="99" spans="1:5">
      <c r="A99" s="17">
        <v>46139</v>
      </c>
      <c r="B99" s="18" t="s">
        <v>165</v>
      </c>
      <c r="C99" s="21" t="s">
        <v>24</v>
      </c>
      <c r="D99" s="20">
        <v>3</v>
      </c>
      <c r="E99" s="20">
        <v>3</v>
      </c>
    </row>
    <row r="100" ht="30" spans="1:5">
      <c r="A100" s="17">
        <v>46141</v>
      </c>
      <c r="B100" s="18" t="s">
        <v>171</v>
      </c>
      <c r="C100" s="21" t="s">
        <v>12</v>
      </c>
      <c r="D100" s="20">
        <v>1</v>
      </c>
      <c r="E100" s="20">
        <v>1</v>
      </c>
    </row>
    <row r="101" spans="1:5">
      <c r="A101" s="17">
        <v>46122</v>
      </c>
      <c r="B101" s="18" t="s">
        <v>169</v>
      </c>
      <c r="C101" s="21" t="s">
        <v>142</v>
      </c>
      <c r="D101" s="20">
        <v>1</v>
      </c>
      <c r="E101" s="20">
        <v>1</v>
      </c>
    </row>
    <row r="102" spans="1:5">
      <c r="A102" s="17">
        <v>46122</v>
      </c>
      <c r="B102" s="18" t="s">
        <v>169</v>
      </c>
      <c r="C102" s="21" t="s">
        <v>143</v>
      </c>
      <c r="D102" s="20">
        <v>1</v>
      </c>
      <c r="E102" s="20">
        <v>1</v>
      </c>
    </row>
    <row r="103" spans="1:5">
      <c r="A103" s="17">
        <v>46141</v>
      </c>
      <c r="B103" s="18" t="s">
        <v>192</v>
      </c>
      <c r="C103" s="21" t="s">
        <v>142</v>
      </c>
      <c r="D103" s="20">
        <v>1</v>
      </c>
      <c r="E103" s="20">
        <v>1</v>
      </c>
    </row>
    <row r="104" spans="1:5">
      <c r="A104" s="17">
        <v>46141</v>
      </c>
      <c r="B104" s="18" t="s">
        <v>192</v>
      </c>
      <c r="C104" s="21" t="s">
        <v>143</v>
      </c>
      <c r="D104" s="20">
        <v>1</v>
      </c>
      <c r="E104" s="20">
        <v>1</v>
      </c>
    </row>
    <row r="105" spans="1:5">
      <c r="A105" s="17">
        <v>46141</v>
      </c>
      <c r="B105" s="18" t="s">
        <v>192</v>
      </c>
      <c r="C105" s="21" t="s">
        <v>144</v>
      </c>
      <c r="D105" s="20">
        <v>1</v>
      </c>
      <c r="E105" s="20">
        <v>1</v>
      </c>
    </row>
    <row r="106" spans="1:5">
      <c r="A106" s="17">
        <v>46141</v>
      </c>
      <c r="B106" s="18" t="s">
        <v>179</v>
      </c>
      <c r="C106" s="21" t="s">
        <v>62</v>
      </c>
      <c r="D106" s="20">
        <v>3</v>
      </c>
      <c r="E106" s="20">
        <v>3</v>
      </c>
    </row>
  </sheetData>
  <conditionalFormatting sqref="C6">
    <cfRule type="duplicateValues" dxfId="0" priority="19"/>
  </conditionalFormatting>
  <conditionalFormatting sqref="C17">
    <cfRule type="duplicateValues" dxfId="0" priority="18"/>
  </conditionalFormatting>
  <conditionalFormatting sqref="C50">
    <cfRule type="duplicateValues" dxfId="0" priority="17"/>
  </conditionalFormatting>
  <conditionalFormatting sqref="C52">
    <cfRule type="duplicateValues" dxfId="0" priority="15"/>
  </conditionalFormatting>
  <conditionalFormatting sqref="C56">
    <cfRule type="duplicateValues" dxfId="0" priority="13"/>
  </conditionalFormatting>
  <conditionalFormatting sqref="C57">
    <cfRule type="duplicateValues" dxfId="0" priority="12"/>
  </conditionalFormatting>
  <conditionalFormatting sqref="C58">
    <cfRule type="duplicateValues" dxfId="0" priority="11"/>
  </conditionalFormatting>
  <conditionalFormatting sqref="C59">
    <cfRule type="duplicateValues" dxfId="0" priority="10"/>
  </conditionalFormatting>
  <conditionalFormatting sqref="C80">
    <cfRule type="duplicateValues" dxfId="0" priority="6"/>
  </conditionalFormatting>
  <conditionalFormatting sqref="C86">
    <cfRule type="duplicateValues" dxfId="0" priority="5"/>
  </conditionalFormatting>
  <conditionalFormatting sqref="C90">
    <cfRule type="duplicateValues" dxfId="0" priority="3"/>
  </conditionalFormatting>
  <conditionalFormatting sqref="C105">
    <cfRule type="duplicateValues" dxfId="0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6"/>
  <sheetViews>
    <sheetView workbookViewId="0">
      <pane xSplit="1" topLeftCell="BE1" activePane="topRight" state="frozen"/>
      <selection/>
      <selection pane="topRight" activeCell="BI1" sqref="BI1"/>
    </sheetView>
  </sheetViews>
  <sheetFormatPr defaultColWidth="9" defaultRowHeight="15"/>
  <cols>
    <col min="1" max="1" width="47.752380952381" customWidth="1"/>
  </cols>
  <sheetData>
    <row r="1" ht="135" spans="1:68">
      <c r="A1" s="1" t="s">
        <v>136</v>
      </c>
      <c r="B1" s="1" t="s">
        <v>137</v>
      </c>
      <c r="C1" s="1" t="s">
        <v>138</v>
      </c>
      <c r="D1" s="2" t="s">
        <v>139</v>
      </c>
      <c r="E1" s="2" t="s">
        <v>140</v>
      </c>
      <c r="F1" s="2" t="s">
        <v>141</v>
      </c>
      <c r="G1" s="3" t="s">
        <v>8</v>
      </c>
      <c r="H1" s="3" t="s">
        <v>10</v>
      </c>
      <c r="I1" s="3" t="s">
        <v>12</v>
      </c>
      <c r="J1" s="3" t="s">
        <v>14</v>
      </c>
      <c r="K1" s="3" t="s">
        <v>16</v>
      </c>
      <c r="L1" s="3" t="s">
        <v>18</v>
      </c>
      <c r="M1" s="3" t="s">
        <v>20</v>
      </c>
      <c r="N1" s="3" t="s">
        <v>22</v>
      </c>
      <c r="O1" s="3" t="s">
        <v>24</v>
      </c>
      <c r="P1" s="3" t="s">
        <v>26</v>
      </c>
      <c r="Q1" s="3" t="s">
        <v>28</v>
      </c>
      <c r="R1" s="3" t="s">
        <v>30</v>
      </c>
      <c r="S1" s="3" t="s">
        <v>32</v>
      </c>
      <c r="T1" s="3" t="s">
        <v>34</v>
      </c>
      <c r="U1" s="3" t="s">
        <v>36</v>
      </c>
      <c r="V1" s="3" t="s">
        <v>38</v>
      </c>
      <c r="W1" s="3" t="s">
        <v>40</v>
      </c>
      <c r="X1" s="3" t="s">
        <v>42</v>
      </c>
      <c r="Y1" s="3" t="s">
        <v>44</v>
      </c>
      <c r="Z1" s="3" t="s">
        <v>46</v>
      </c>
      <c r="AA1" s="3" t="s">
        <v>48</v>
      </c>
      <c r="AB1" s="3" t="s">
        <v>50</v>
      </c>
      <c r="AC1" s="3" t="s">
        <v>52</v>
      </c>
      <c r="AD1" s="3" t="s">
        <v>54</v>
      </c>
      <c r="AE1" s="3" t="s">
        <v>56</v>
      </c>
      <c r="AF1" s="3" t="s">
        <v>58</v>
      </c>
      <c r="AG1" s="3" t="s">
        <v>60</v>
      </c>
      <c r="AH1" s="3" t="s">
        <v>62</v>
      </c>
      <c r="AI1" s="3" t="s">
        <v>64</v>
      </c>
      <c r="AJ1" s="3" t="s">
        <v>66</v>
      </c>
      <c r="AK1" s="3" t="s">
        <v>142</v>
      </c>
      <c r="AL1" s="3" t="s">
        <v>143</v>
      </c>
      <c r="AM1" s="3" t="s">
        <v>125</v>
      </c>
      <c r="AN1" s="4" t="s">
        <v>72</v>
      </c>
      <c r="AO1" s="4" t="s">
        <v>75</v>
      </c>
      <c r="AP1" s="4" t="s">
        <v>77</v>
      </c>
      <c r="AQ1" s="5" t="s">
        <v>79</v>
      </c>
      <c r="AR1" s="4" t="s">
        <v>81</v>
      </c>
      <c r="AS1" s="4" t="s">
        <v>83</v>
      </c>
      <c r="AT1" s="4" t="s">
        <v>85</v>
      </c>
      <c r="AU1" s="4" t="s">
        <v>87</v>
      </c>
      <c r="AV1" s="4" t="s">
        <v>89</v>
      </c>
      <c r="AW1" s="4" t="s">
        <v>91</v>
      </c>
      <c r="AX1" s="4" t="s">
        <v>93</v>
      </c>
      <c r="AY1" s="4" t="s">
        <v>95</v>
      </c>
      <c r="AZ1" s="4" t="s">
        <v>97</v>
      </c>
      <c r="BA1" s="4" t="s">
        <v>99</v>
      </c>
      <c r="BB1" s="4" t="s">
        <v>101</v>
      </c>
      <c r="BC1" s="4" t="s">
        <v>103</v>
      </c>
      <c r="BD1" s="4" t="s">
        <v>105</v>
      </c>
      <c r="BE1" s="4" t="s">
        <v>107</v>
      </c>
      <c r="BF1" s="4" t="s">
        <v>109</v>
      </c>
      <c r="BG1" s="4" t="s">
        <v>111</v>
      </c>
      <c r="BH1" s="4" t="s">
        <v>113</v>
      </c>
      <c r="BI1" s="4" t="s">
        <v>144</v>
      </c>
      <c r="BJ1" s="4" t="s">
        <v>117</v>
      </c>
      <c r="BK1" s="4" t="s">
        <v>119</v>
      </c>
      <c r="BL1" s="4" t="s">
        <v>121</v>
      </c>
      <c r="BM1" s="4" t="s">
        <v>123</v>
      </c>
      <c r="BN1" s="4" t="s">
        <v>127</v>
      </c>
      <c r="BO1" s="4" t="s">
        <v>129</v>
      </c>
      <c r="BP1" s="4" t="s">
        <v>132</v>
      </c>
    </row>
    <row r="2" spans="1:68">
      <c r="A2" s="6" t="s">
        <v>152</v>
      </c>
      <c r="B2" s="6" t="s">
        <v>153</v>
      </c>
      <c r="C2" s="6">
        <v>1038</v>
      </c>
      <c r="D2" s="6">
        <v>5</v>
      </c>
      <c r="E2" s="6">
        <v>6</v>
      </c>
      <c r="F2" s="6">
        <v>1</v>
      </c>
      <c r="G2" s="7">
        <v>1</v>
      </c>
      <c r="H2" s="7">
        <v>2</v>
      </c>
      <c r="I2" s="7">
        <v>1</v>
      </c>
      <c r="J2" s="7">
        <v>1</v>
      </c>
      <c r="K2" s="7">
        <v>1042</v>
      </c>
      <c r="L2" s="7">
        <v>1</v>
      </c>
      <c r="M2" s="7">
        <v>1</v>
      </c>
      <c r="N2" s="7">
        <v>10</v>
      </c>
      <c r="O2" s="7">
        <v>5</v>
      </c>
      <c r="P2" s="7">
        <v>10</v>
      </c>
      <c r="Q2" s="7">
        <v>1</v>
      </c>
      <c r="R2" s="7">
        <v>1</v>
      </c>
      <c r="S2" s="7">
        <v>18</v>
      </c>
      <c r="T2" s="7">
        <v>10</v>
      </c>
      <c r="U2" s="7">
        <v>1</v>
      </c>
      <c r="V2" s="7">
        <v>12</v>
      </c>
      <c r="W2" s="7">
        <v>90</v>
      </c>
      <c r="X2" s="7">
        <v>1</v>
      </c>
      <c r="Y2" s="8">
        <v>14</v>
      </c>
      <c r="Z2" s="8">
        <v>1</v>
      </c>
      <c r="AA2" s="8">
        <v>1</v>
      </c>
      <c r="AB2" s="7">
        <v>1</v>
      </c>
      <c r="AC2" s="8">
        <v>1</v>
      </c>
      <c r="AD2" s="8">
        <v>1</v>
      </c>
      <c r="AE2" s="8">
        <v>1</v>
      </c>
      <c r="AF2" s="7">
        <v>18</v>
      </c>
      <c r="AG2" s="8">
        <v>1</v>
      </c>
      <c r="AH2" s="7">
        <v>9</v>
      </c>
      <c r="AI2" s="7">
        <v>1</v>
      </c>
      <c r="AJ2" s="7">
        <v>1</v>
      </c>
      <c r="AK2" s="7">
        <v>1</v>
      </c>
      <c r="AL2" s="7">
        <v>1</v>
      </c>
      <c r="AM2" s="7">
        <v>11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</row>
    <row r="3" spans="1:68">
      <c r="A3" s="9" t="s">
        <v>157</v>
      </c>
      <c r="B3" s="6" t="s">
        <v>149</v>
      </c>
      <c r="C3" s="6">
        <v>82</v>
      </c>
      <c r="D3" s="6">
        <v>2</v>
      </c>
      <c r="E3" s="6">
        <v>2</v>
      </c>
      <c r="F3" s="6">
        <v>1</v>
      </c>
      <c r="G3" s="7">
        <v>1</v>
      </c>
      <c r="H3" s="7">
        <v>2</v>
      </c>
      <c r="I3" s="7">
        <v>1</v>
      </c>
      <c r="J3" s="7">
        <v>1</v>
      </c>
      <c r="K3" s="7">
        <v>81</v>
      </c>
      <c r="L3" s="7">
        <v>1</v>
      </c>
      <c r="M3" s="7">
        <v>0</v>
      </c>
      <c r="N3" s="7">
        <v>5</v>
      </c>
      <c r="O3" s="7">
        <v>1</v>
      </c>
      <c r="P3" s="7">
        <v>5</v>
      </c>
      <c r="Q3" s="7">
        <v>1</v>
      </c>
      <c r="R3" s="7">
        <v>1</v>
      </c>
      <c r="S3" s="7">
        <v>2</v>
      </c>
      <c r="T3" s="7">
        <v>2</v>
      </c>
      <c r="U3" s="7">
        <v>1</v>
      </c>
      <c r="V3" s="7">
        <v>1</v>
      </c>
      <c r="W3" s="7">
        <v>10</v>
      </c>
      <c r="X3" s="7">
        <v>1</v>
      </c>
      <c r="Y3" s="8">
        <v>2</v>
      </c>
      <c r="Z3" s="8">
        <v>1</v>
      </c>
      <c r="AA3" s="8">
        <v>1</v>
      </c>
      <c r="AB3" s="7">
        <v>1</v>
      </c>
      <c r="AC3" s="8">
        <v>1</v>
      </c>
      <c r="AD3" s="8">
        <v>1</v>
      </c>
      <c r="AE3" s="8">
        <v>1</v>
      </c>
      <c r="AF3" s="7">
        <v>2</v>
      </c>
      <c r="AG3" s="8">
        <v>1</v>
      </c>
      <c r="AH3" s="7">
        <v>1</v>
      </c>
      <c r="AI3" s="7">
        <v>1</v>
      </c>
      <c r="AJ3" s="7">
        <v>1</v>
      </c>
      <c r="AK3" s="7">
        <v>1</v>
      </c>
      <c r="AL3" s="7">
        <v>1</v>
      </c>
      <c r="AM3" s="7">
        <v>1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</row>
    <row r="4" spans="1:68">
      <c r="A4" s="9" t="s">
        <v>162</v>
      </c>
      <c r="B4" s="6" t="s">
        <v>149</v>
      </c>
      <c r="C4" s="6">
        <v>40</v>
      </c>
      <c r="D4" s="6">
        <v>2</v>
      </c>
      <c r="E4" s="6">
        <v>2</v>
      </c>
      <c r="F4" s="6">
        <v>1</v>
      </c>
      <c r="G4" s="7">
        <v>1</v>
      </c>
      <c r="H4" s="7">
        <v>2</v>
      </c>
      <c r="I4" s="7">
        <v>1</v>
      </c>
      <c r="J4" s="7">
        <v>1</v>
      </c>
      <c r="K4" s="7">
        <v>40</v>
      </c>
      <c r="L4" s="7">
        <v>1</v>
      </c>
      <c r="M4" s="7">
        <v>0</v>
      </c>
      <c r="N4" s="7">
        <v>5</v>
      </c>
      <c r="O4" s="7">
        <v>1</v>
      </c>
      <c r="P4" s="7">
        <v>5</v>
      </c>
      <c r="Q4" s="7">
        <v>1</v>
      </c>
      <c r="R4" s="7">
        <v>1</v>
      </c>
      <c r="S4" s="7">
        <v>2</v>
      </c>
      <c r="T4" s="7">
        <v>2</v>
      </c>
      <c r="U4" s="7">
        <v>1</v>
      </c>
      <c r="V4" s="7">
        <v>1</v>
      </c>
      <c r="W4" s="7">
        <v>10</v>
      </c>
      <c r="X4" s="7">
        <v>1</v>
      </c>
      <c r="Y4" s="8">
        <v>2</v>
      </c>
      <c r="Z4" s="8">
        <v>1</v>
      </c>
      <c r="AA4" s="8">
        <v>1</v>
      </c>
      <c r="AB4" s="7">
        <v>1</v>
      </c>
      <c r="AC4" s="8">
        <v>1</v>
      </c>
      <c r="AD4" s="8">
        <v>1</v>
      </c>
      <c r="AE4" s="8">
        <v>1</v>
      </c>
      <c r="AF4" s="7">
        <v>2</v>
      </c>
      <c r="AG4" s="8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>
        <v>1</v>
      </c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</row>
    <row r="5" spans="1:68">
      <c r="A5" s="6" t="s">
        <v>166</v>
      </c>
      <c r="B5" s="6" t="s">
        <v>147</v>
      </c>
      <c r="C5" s="6">
        <v>862</v>
      </c>
      <c r="D5" s="6">
        <v>4</v>
      </c>
      <c r="E5" s="6">
        <v>4</v>
      </c>
      <c r="F5" s="6">
        <v>1</v>
      </c>
      <c r="G5" s="7">
        <v>1</v>
      </c>
      <c r="H5" s="7">
        <v>2</v>
      </c>
      <c r="I5" s="7">
        <v>1</v>
      </c>
      <c r="J5" s="7">
        <v>1</v>
      </c>
      <c r="K5" s="7">
        <v>866</v>
      </c>
      <c r="L5" s="7">
        <v>1</v>
      </c>
      <c r="M5" s="7">
        <v>1</v>
      </c>
      <c r="N5" s="7">
        <v>10</v>
      </c>
      <c r="O5" s="7">
        <v>5</v>
      </c>
      <c r="P5" s="7">
        <v>10</v>
      </c>
      <c r="Q5" s="7">
        <v>1</v>
      </c>
      <c r="R5" s="7">
        <v>1</v>
      </c>
      <c r="S5" s="7">
        <v>12</v>
      </c>
      <c r="T5" s="7">
        <v>6</v>
      </c>
      <c r="U5" s="7">
        <v>1</v>
      </c>
      <c r="V5" s="7">
        <v>1</v>
      </c>
      <c r="W5" s="7">
        <v>60</v>
      </c>
      <c r="X5" s="7">
        <v>1</v>
      </c>
      <c r="Y5" s="8">
        <v>9</v>
      </c>
      <c r="Z5" s="8">
        <v>1</v>
      </c>
      <c r="AA5" s="8">
        <v>1</v>
      </c>
      <c r="AB5" s="7">
        <v>1</v>
      </c>
      <c r="AC5" s="8">
        <v>1</v>
      </c>
      <c r="AD5" s="8">
        <v>1</v>
      </c>
      <c r="AE5" s="8">
        <v>1</v>
      </c>
      <c r="AF5" s="7">
        <v>12</v>
      </c>
      <c r="AG5" s="8">
        <v>1</v>
      </c>
      <c r="AH5" s="7">
        <v>6</v>
      </c>
      <c r="AI5" s="7">
        <v>1</v>
      </c>
      <c r="AJ5" s="7">
        <v>1</v>
      </c>
      <c r="AK5" s="7">
        <v>1</v>
      </c>
      <c r="AL5" s="7">
        <v>1</v>
      </c>
      <c r="AM5" s="7">
        <v>9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</row>
    <row r="6" spans="1:68">
      <c r="A6" s="9" t="s">
        <v>167</v>
      </c>
      <c r="B6" s="6" t="s">
        <v>149</v>
      </c>
      <c r="C6" s="6">
        <v>88</v>
      </c>
      <c r="D6" s="6">
        <v>2</v>
      </c>
      <c r="E6" s="6">
        <v>2</v>
      </c>
      <c r="F6" s="6">
        <v>1</v>
      </c>
      <c r="G6" s="7">
        <v>1</v>
      </c>
      <c r="H6" s="7">
        <v>2</v>
      </c>
      <c r="I6" s="7">
        <v>1</v>
      </c>
      <c r="J6" s="7">
        <v>1</v>
      </c>
      <c r="K6" s="7">
        <v>85</v>
      </c>
      <c r="L6" s="7">
        <v>1</v>
      </c>
      <c r="M6" s="7">
        <v>0</v>
      </c>
      <c r="N6" s="7">
        <v>5</v>
      </c>
      <c r="O6" s="7">
        <v>1</v>
      </c>
      <c r="P6" s="7">
        <v>5</v>
      </c>
      <c r="Q6" s="7">
        <v>1</v>
      </c>
      <c r="R6" s="7">
        <v>1</v>
      </c>
      <c r="S6" s="7">
        <v>2</v>
      </c>
      <c r="T6" s="7">
        <v>2</v>
      </c>
      <c r="U6" s="7">
        <v>1</v>
      </c>
      <c r="V6" s="7">
        <v>1</v>
      </c>
      <c r="W6" s="7">
        <v>10</v>
      </c>
      <c r="X6" s="7">
        <v>1</v>
      </c>
      <c r="Y6" s="8">
        <v>2</v>
      </c>
      <c r="Z6" s="8">
        <v>1</v>
      </c>
      <c r="AA6" s="8">
        <v>1</v>
      </c>
      <c r="AB6" s="7">
        <v>1</v>
      </c>
      <c r="AC6" s="8">
        <v>1</v>
      </c>
      <c r="AD6" s="8">
        <v>1</v>
      </c>
      <c r="AE6" s="8">
        <v>1</v>
      </c>
      <c r="AF6" s="7">
        <v>2</v>
      </c>
      <c r="AG6" s="8">
        <v>1</v>
      </c>
      <c r="AH6" s="7">
        <v>1</v>
      </c>
      <c r="AI6" s="7">
        <v>1</v>
      </c>
      <c r="AJ6" s="7">
        <v>1</v>
      </c>
      <c r="AK6" s="7">
        <v>1</v>
      </c>
      <c r="AL6" s="7">
        <v>1</v>
      </c>
      <c r="AM6" s="7">
        <v>1</v>
      </c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</row>
    <row r="7" spans="1:68">
      <c r="A7" s="6" t="s">
        <v>177</v>
      </c>
      <c r="B7" s="6" t="s">
        <v>153</v>
      </c>
      <c r="C7" s="6">
        <v>3073</v>
      </c>
      <c r="D7" s="6">
        <v>5</v>
      </c>
      <c r="E7" s="6">
        <v>6</v>
      </c>
      <c r="F7" s="6">
        <v>2</v>
      </c>
      <c r="G7" s="7">
        <v>2</v>
      </c>
      <c r="H7" s="7">
        <v>5</v>
      </c>
      <c r="I7" s="7">
        <v>2</v>
      </c>
      <c r="J7" s="7">
        <v>3</v>
      </c>
      <c r="K7" s="7">
        <v>3103</v>
      </c>
      <c r="L7" s="7">
        <v>2</v>
      </c>
      <c r="M7" s="7">
        <v>1</v>
      </c>
      <c r="N7" s="7">
        <v>10</v>
      </c>
      <c r="O7" s="7">
        <v>7</v>
      </c>
      <c r="P7" s="7">
        <v>10</v>
      </c>
      <c r="Q7" s="7">
        <v>1</v>
      </c>
      <c r="R7" s="7">
        <v>1</v>
      </c>
      <c r="S7" s="7">
        <v>44</v>
      </c>
      <c r="T7" s="7">
        <v>10</v>
      </c>
      <c r="U7" s="7">
        <v>1</v>
      </c>
      <c r="V7" s="7">
        <v>34</v>
      </c>
      <c r="W7" s="7">
        <v>220</v>
      </c>
      <c r="X7" s="7">
        <v>1</v>
      </c>
      <c r="Y7" s="8">
        <v>33</v>
      </c>
      <c r="Z7" s="8">
        <v>1</v>
      </c>
      <c r="AA7" s="8">
        <v>1</v>
      </c>
      <c r="AB7" s="7">
        <v>1</v>
      </c>
      <c r="AC7" s="8">
        <v>1</v>
      </c>
      <c r="AD7" s="8">
        <v>1</v>
      </c>
      <c r="AE7" s="8">
        <v>1</v>
      </c>
      <c r="AF7" s="7">
        <v>44</v>
      </c>
      <c r="AG7" s="8">
        <v>1</v>
      </c>
      <c r="AH7" s="7">
        <v>22</v>
      </c>
      <c r="AI7" s="7">
        <v>1</v>
      </c>
      <c r="AJ7" s="7">
        <v>1</v>
      </c>
      <c r="AK7" s="7">
        <v>1</v>
      </c>
      <c r="AL7" s="7">
        <v>1</v>
      </c>
      <c r="AM7" s="7">
        <v>31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</row>
    <row r="8" spans="1:68">
      <c r="A8" s="9" t="s">
        <v>178</v>
      </c>
      <c r="B8" s="6" t="s">
        <v>149</v>
      </c>
      <c r="C8" s="6">
        <v>108</v>
      </c>
      <c r="D8" s="6">
        <v>2</v>
      </c>
      <c r="E8" s="6">
        <v>2</v>
      </c>
      <c r="F8" s="6">
        <v>1</v>
      </c>
      <c r="G8" s="7">
        <v>1</v>
      </c>
      <c r="H8" s="7">
        <v>2</v>
      </c>
      <c r="I8" s="7">
        <v>1</v>
      </c>
      <c r="J8" s="7">
        <v>1</v>
      </c>
      <c r="K8" s="7">
        <v>110</v>
      </c>
      <c r="L8" s="7">
        <v>1</v>
      </c>
      <c r="M8" s="7">
        <v>0</v>
      </c>
      <c r="N8" s="7">
        <v>5</v>
      </c>
      <c r="O8" s="7">
        <v>1</v>
      </c>
      <c r="P8" s="7">
        <v>5</v>
      </c>
      <c r="Q8" s="7">
        <v>1</v>
      </c>
      <c r="R8" s="7">
        <v>1</v>
      </c>
      <c r="S8" s="7">
        <v>2</v>
      </c>
      <c r="T8" s="7">
        <v>2</v>
      </c>
      <c r="U8" s="7">
        <v>1</v>
      </c>
      <c r="V8" s="7">
        <v>2</v>
      </c>
      <c r="W8" s="7">
        <v>10</v>
      </c>
      <c r="X8" s="7">
        <v>1</v>
      </c>
      <c r="Y8" s="8">
        <v>2</v>
      </c>
      <c r="Z8" s="8">
        <v>1</v>
      </c>
      <c r="AA8" s="8">
        <v>1</v>
      </c>
      <c r="AB8" s="7">
        <v>1</v>
      </c>
      <c r="AC8" s="8">
        <v>1</v>
      </c>
      <c r="AD8" s="8">
        <v>1</v>
      </c>
      <c r="AE8" s="8">
        <v>1</v>
      </c>
      <c r="AF8" s="7">
        <v>2</v>
      </c>
      <c r="AG8" s="8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2</v>
      </c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</row>
    <row r="9" spans="1:68">
      <c r="A9" s="9" t="s">
        <v>186</v>
      </c>
      <c r="B9" s="6" t="s">
        <v>149</v>
      </c>
      <c r="C9" s="6">
        <v>204</v>
      </c>
      <c r="D9" s="6">
        <v>2</v>
      </c>
      <c r="E9" s="6">
        <v>2</v>
      </c>
      <c r="F9" s="6">
        <v>1</v>
      </c>
      <c r="G9" s="7">
        <v>1</v>
      </c>
      <c r="H9" s="7">
        <v>2</v>
      </c>
      <c r="I9" s="7">
        <v>1</v>
      </c>
      <c r="J9" s="7">
        <v>1</v>
      </c>
      <c r="K9" s="7">
        <v>203</v>
      </c>
      <c r="L9" s="7">
        <v>1</v>
      </c>
      <c r="M9" s="7">
        <v>0</v>
      </c>
      <c r="N9" s="7">
        <v>5</v>
      </c>
      <c r="O9" s="7">
        <v>1</v>
      </c>
      <c r="P9" s="7">
        <v>5</v>
      </c>
      <c r="Q9" s="7">
        <v>1</v>
      </c>
      <c r="R9" s="7">
        <v>1</v>
      </c>
      <c r="S9" s="7">
        <v>4</v>
      </c>
      <c r="T9" s="7">
        <v>2</v>
      </c>
      <c r="U9" s="7">
        <v>1</v>
      </c>
      <c r="V9" s="8">
        <v>2</v>
      </c>
      <c r="W9" s="7">
        <v>20</v>
      </c>
      <c r="X9" s="7">
        <v>1</v>
      </c>
      <c r="Y9" s="8">
        <v>3</v>
      </c>
      <c r="Z9" s="8">
        <v>1</v>
      </c>
      <c r="AA9" s="8">
        <v>1</v>
      </c>
      <c r="AB9" s="7">
        <v>1</v>
      </c>
      <c r="AC9" s="8">
        <v>1</v>
      </c>
      <c r="AD9" s="8">
        <v>1</v>
      </c>
      <c r="AE9" s="8">
        <v>1</v>
      </c>
      <c r="AF9" s="7">
        <v>4</v>
      </c>
      <c r="AG9" s="8">
        <v>1</v>
      </c>
      <c r="AH9" s="7">
        <v>2</v>
      </c>
      <c r="AI9" s="7">
        <v>1</v>
      </c>
      <c r="AJ9" s="7">
        <v>1</v>
      </c>
      <c r="AK9" s="7">
        <v>1</v>
      </c>
      <c r="AL9" s="7">
        <v>1</v>
      </c>
      <c r="AM9" s="7">
        <v>3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</row>
    <row r="10" spans="1:68">
      <c r="A10" s="9" t="s">
        <v>188</v>
      </c>
      <c r="B10" s="6" t="s">
        <v>149</v>
      </c>
      <c r="C10" s="6">
        <v>93</v>
      </c>
      <c r="D10" s="6">
        <v>2</v>
      </c>
      <c r="E10" s="6">
        <v>2</v>
      </c>
      <c r="F10" s="6">
        <v>1</v>
      </c>
      <c r="G10" s="7">
        <v>1</v>
      </c>
      <c r="H10" s="7">
        <v>2</v>
      </c>
      <c r="I10" s="7">
        <v>1</v>
      </c>
      <c r="J10" s="7">
        <v>1</v>
      </c>
      <c r="K10" s="7">
        <v>96</v>
      </c>
      <c r="L10" s="7">
        <v>1</v>
      </c>
      <c r="M10" s="7">
        <v>0</v>
      </c>
      <c r="N10" s="7">
        <v>5</v>
      </c>
      <c r="O10" s="7">
        <v>1</v>
      </c>
      <c r="P10" s="7">
        <v>5</v>
      </c>
      <c r="Q10" s="7">
        <v>1</v>
      </c>
      <c r="R10" s="7">
        <v>1</v>
      </c>
      <c r="S10" s="7">
        <v>2</v>
      </c>
      <c r="T10" s="7">
        <v>2</v>
      </c>
      <c r="U10" s="7">
        <v>1</v>
      </c>
      <c r="V10" s="8">
        <v>1</v>
      </c>
      <c r="W10" s="7">
        <v>10</v>
      </c>
      <c r="X10" s="7">
        <v>1</v>
      </c>
      <c r="Y10" s="8">
        <v>2</v>
      </c>
      <c r="Z10" s="8">
        <v>1</v>
      </c>
      <c r="AA10" s="8">
        <v>1</v>
      </c>
      <c r="AB10" s="7">
        <v>1</v>
      </c>
      <c r="AC10" s="8">
        <v>1</v>
      </c>
      <c r="AD10" s="8">
        <v>1</v>
      </c>
      <c r="AE10" s="8">
        <v>1</v>
      </c>
      <c r="AF10" s="7">
        <v>2</v>
      </c>
      <c r="AG10" s="8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</row>
    <row r="11" spans="1:68">
      <c r="A11" s="6" t="s">
        <v>197</v>
      </c>
      <c r="B11" s="6" t="s">
        <v>147</v>
      </c>
      <c r="C11" s="6">
        <v>576</v>
      </c>
      <c r="D11" s="6">
        <v>4</v>
      </c>
      <c r="E11" s="6">
        <v>4</v>
      </c>
      <c r="F11" s="6">
        <v>1</v>
      </c>
      <c r="G11" s="7">
        <v>1</v>
      </c>
      <c r="H11" s="7">
        <v>2</v>
      </c>
      <c r="I11" s="7">
        <v>1</v>
      </c>
      <c r="J11" s="7">
        <v>1</v>
      </c>
      <c r="K11" s="7">
        <v>588</v>
      </c>
      <c r="L11" s="7">
        <v>1</v>
      </c>
      <c r="M11" s="7">
        <v>0</v>
      </c>
      <c r="N11" s="7">
        <v>10</v>
      </c>
      <c r="O11" s="7">
        <v>4</v>
      </c>
      <c r="P11" s="7">
        <v>10</v>
      </c>
      <c r="Q11" s="7">
        <v>1</v>
      </c>
      <c r="R11" s="7">
        <v>1</v>
      </c>
      <c r="S11" s="7">
        <v>8</v>
      </c>
      <c r="T11" s="7">
        <v>6</v>
      </c>
      <c r="U11" s="7">
        <v>1</v>
      </c>
      <c r="V11" s="8">
        <v>6</v>
      </c>
      <c r="W11" s="7">
        <v>40</v>
      </c>
      <c r="X11" s="7">
        <v>1</v>
      </c>
      <c r="Y11" s="8">
        <v>6</v>
      </c>
      <c r="Z11" s="8">
        <v>1</v>
      </c>
      <c r="AA11" s="8">
        <v>1</v>
      </c>
      <c r="AB11" s="7">
        <v>1</v>
      </c>
      <c r="AC11" s="8">
        <v>1</v>
      </c>
      <c r="AD11" s="8">
        <v>1</v>
      </c>
      <c r="AE11" s="8">
        <v>1</v>
      </c>
      <c r="AF11" s="7">
        <v>8</v>
      </c>
      <c r="AG11" s="8">
        <v>1</v>
      </c>
      <c r="AH11" s="7">
        <v>4</v>
      </c>
      <c r="AI11" s="7">
        <v>1</v>
      </c>
      <c r="AJ11" s="7">
        <v>1</v>
      </c>
      <c r="AK11" s="7">
        <v>1</v>
      </c>
      <c r="AL11" s="7">
        <v>1</v>
      </c>
      <c r="AM11" s="7">
        <v>6</v>
      </c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</row>
    <row r="12" spans="1:68">
      <c r="A12" s="6" t="s">
        <v>198</v>
      </c>
      <c r="B12" s="6" t="s">
        <v>147</v>
      </c>
      <c r="C12" s="6">
        <v>608</v>
      </c>
      <c r="D12" s="6">
        <v>4</v>
      </c>
      <c r="E12" s="6">
        <v>4</v>
      </c>
      <c r="F12" s="6">
        <v>1</v>
      </c>
      <c r="G12" s="7">
        <v>1</v>
      </c>
      <c r="H12" s="7">
        <v>2</v>
      </c>
      <c r="I12" s="7">
        <v>1</v>
      </c>
      <c r="J12" s="7">
        <v>1</v>
      </c>
      <c r="K12" s="7">
        <v>683</v>
      </c>
      <c r="L12" s="7">
        <v>1</v>
      </c>
      <c r="M12" s="7">
        <v>1</v>
      </c>
      <c r="N12" s="7">
        <v>10</v>
      </c>
      <c r="O12" s="7">
        <v>4</v>
      </c>
      <c r="P12" s="7">
        <v>10</v>
      </c>
      <c r="Q12" s="7">
        <v>1</v>
      </c>
      <c r="R12" s="7">
        <v>1</v>
      </c>
      <c r="S12" s="7">
        <v>8</v>
      </c>
      <c r="T12" s="7">
        <v>6</v>
      </c>
      <c r="U12" s="7">
        <v>1</v>
      </c>
      <c r="V12" s="8">
        <v>7</v>
      </c>
      <c r="W12" s="7">
        <v>40</v>
      </c>
      <c r="X12" s="7">
        <v>1</v>
      </c>
      <c r="Y12" s="8">
        <v>6</v>
      </c>
      <c r="Z12" s="8">
        <v>1</v>
      </c>
      <c r="AA12" s="8">
        <v>1</v>
      </c>
      <c r="AB12" s="7">
        <v>1</v>
      </c>
      <c r="AC12" s="8">
        <v>1</v>
      </c>
      <c r="AD12" s="8">
        <v>1</v>
      </c>
      <c r="AE12" s="8">
        <v>1</v>
      </c>
      <c r="AF12" s="7">
        <v>8</v>
      </c>
      <c r="AG12" s="8">
        <v>1</v>
      </c>
      <c r="AH12" s="7">
        <v>4</v>
      </c>
      <c r="AI12" s="7">
        <v>1</v>
      </c>
      <c r="AJ12" s="7">
        <v>1</v>
      </c>
      <c r="AK12" s="7">
        <v>1</v>
      </c>
      <c r="AL12" s="7">
        <v>1</v>
      </c>
      <c r="AM12" s="7">
        <v>7</v>
      </c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</row>
    <row r="13" spans="1:68">
      <c r="A13" s="6" t="s">
        <v>205</v>
      </c>
      <c r="B13" s="6" t="s">
        <v>153</v>
      </c>
      <c r="C13" s="6">
        <v>1048</v>
      </c>
      <c r="D13" s="6">
        <v>5</v>
      </c>
      <c r="E13" s="6">
        <v>6</v>
      </c>
      <c r="F13" s="6">
        <v>1</v>
      </c>
      <c r="G13" s="7">
        <v>1</v>
      </c>
      <c r="H13" s="7">
        <v>2</v>
      </c>
      <c r="I13" s="7">
        <v>1</v>
      </c>
      <c r="J13" s="7">
        <v>1</v>
      </c>
      <c r="K13" s="7">
        <v>1053</v>
      </c>
      <c r="L13" s="7">
        <v>1</v>
      </c>
      <c r="M13" s="7">
        <v>1</v>
      </c>
      <c r="N13" s="7">
        <v>10</v>
      </c>
      <c r="O13" s="7">
        <v>4</v>
      </c>
      <c r="P13" s="7">
        <v>10</v>
      </c>
      <c r="Q13" s="7">
        <v>1</v>
      </c>
      <c r="R13" s="7">
        <v>1</v>
      </c>
      <c r="S13" s="7">
        <v>10</v>
      </c>
      <c r="T13" s="7">
        <v>6</v>
      </c>
      <c r="U13" s="7">
        <v>1</v>
      </c>
      <c r="V13" s="8">
        <v>11</v>
      </c>
      <c r="W13" s="7">
        <v>50</v>
      </c>
      <c r="X13" s="7">
        <v>1</v>
      </c>
      <c r="Y13" s="8">
        <v>8</v>
      </c>
      <c r="Z13" s="8">
        <v>1</v>
      </c>
      <c r="AA13" s="8">
        <v>1</v>
      </c>
      <c r="AB13" s="7">
        <v>1</v>
      </c>
      <c r="AC13" s="8">
        <v>1</v>
      </c>
      <c r="AD13" s="8">
        <v>1</v>
      </c>
      <c r="AE13" s="8">
        <v>1</v>
      </c>
      <c r="AF13" s="7">
        <v>10</v>
      </c>
      <c r="AG13" s="8">
        <v>1</v>
      </c>
      <c r="AH13" s="7">
        <v>5</v>
      </c>
      <c r="AI13" s="7">
        <v>1</v>
      </c>
      <c r="AJ13" s="7">
        <v>1</v>
      </c>
      <c r="AK13" s="7">
        <v>1</v>
      </c>
      <c r="AL13" s="7">
        <v>1</v>
      </c>
      <c r="AM13" s="7">
        <v>11</v>
      </c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</row>
    <row r="14" spans="1:68">
      <c r="A14" s="6" t="s">
        <v>209</v>
      </c>
      <c r="B14" s="6" t="s">
        <v>153</v>
      </c>
      <c r="C14" s="6">
        <v>1797</v>
      </c>
      <c r="D14" s="6" t="s">
        <v>210</v>
      </c>
      <c r="E14" s="6">
        <v>6</v>
      </c>
      <c r="F14" s="6">
        <v>2</v>
      </c>
      <c r="G14" s="7">
        <v>1</v>
      </c>
      <c r="H14" s="7">
        <v>1</v>
      </c>
      <c r="I14" s="7">
        <v>1</v>
      </c>
      <c r="J14" s="7">
        <v>1</v>
      </c>
      <c r="K14" s="7">
        <v>1837</v>
      </c>
      <c r="L14" s="7">
        <v>1</v>
      </c>
      <c r="M14" s="7">
        <v>1</v>
      </c>
      <c r="N14" s="7">
        <v>10</v>
      </c>
      <c r="O14" s="7">
        <v>4</v>
      </c>
      <c r="P14" s="7">
        <v>10</v>
      </c>
      <c r="Q14" s="7">
        <v>1</v>
      </c>
      <c r="R14" s="7">
        <v>1</v>
      </c>
      <c r="S14" s="7">
        <v>22</v>
      </c>
      <c r="T14" s="7">
        <v>6</v>
      </c>
      <c r="U14" s="7">
        <v>1</v>
      </c>
      <c r="V14" s="8">
        <v>20</v>
      </c>
      <c r="W14" s="7">
        <v>110</v>
      </c>
      <c r="X14" s="7">
        <v>1</v>
      </c>
      <c r="Y14" s="8">
        <v>22</v>
      </c>
      <c r="Z14" s="8">
        <v>1</v>
      </c>
      <c r="AA14" s="8">
        <v>1</v>
      </c>
      <c r="AB14" s="7">
        <v>1</v>
      </c>
      <c r="AC14" s="8">
        <v>1</v>
      </c>
      <c r="AD14" s="8">
        <v>1</v>
      </c>
      <c r="AE14" s="8">
        <v>1</v>
      </c>
      <c r="AF14" s="7">
        <v>22</v>
      </c>
      <c r="AG14" s="8">
        <v>1</v>
      </c>
      <c r="AH14" s="7">
        <v>11</v>
      </c>
      <c r="AI14" s="7">
        <v>1</v>
      </c>
      <c r="AJ14" s="7">
        <v>1</v>
      </c>
      <c r="AK14" s="7">
        <v>1</v>
      </c>
      <c r="AL14" s="7">
        <v>1</v>
      </c>
      <c r="AM14" s="7">
        <v>18</v>
      </c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</row>
    <row r="15" spans="1:68">
      <c r="A15" s="10"/>
      <c r="B15" s="10"/>
      <c r="C15" s="10"/>
      <c r="D15" s="10">
        <f>SUM(D2:D14)</f>
        <v>39</v>
      </c>
      <c r="E15" s="10">
        <f t="shared" ref="E15:BP15" si="0">SUM(E2:E14)</f>
        <v>48</v>
      </c>
      <c r="F15" s="10">
        <f t="shared" si="0"/>
        <v>15</v>
      </c>
      <c r="G15" s="10">
        <f t="shared" si="0"/>
        <v>14</v>
      </c>
      <c r="H15" s="10">
        <f t="shared" si="0"/>
        <v>28</v>
      </c>
      <c r="I15" s="10">
        <f t="shared" si="0"/>
        <v>14</v>
      </c>
      <c r="J15" s="10">
        <f t="shared" si="0"/>
        <v>15</v>
      </c>
      <c r="K15" s="10">
        <f t="shared" si="0"/>
        <v>9787</v>
      </c>
      <c r="L15" s="10">
        <f t="shared" si="0"/>
        <v>14</v>
      </c>
      <c r="M15" s="10">
        <f t="shared" si="0"/>
        <v>6</v>
      </c>
      <c r="N15" s="10">
        <f t="shared" si="0"/>
        <v>100</v>
      </c>
      <c r="O15" s="10">
        <f t="shared" si="0"/>
        <v>39</v>
      </c>
      <c r="P15" s="10">
        <f t="shared" si="0"/>
        <v>100</v>
      </c>
      <c r="Q15" s="10">
        <f t="shared" si="0"/>
        <v>13</v>
      </c>
      <c r="R15" s="10">
        <f t="shared" si="0"/>
        <v>13</v>
      </c>
      <c r="S15" s="10">
        <f t="shared" si="0"/>
        <v>136</v>
      </c>
      <c r="T15" s="10">
        <f t="shared" si="0"/>
        <v>62</v>
      </c>
      <c r="U15" s="10">
        <f t="shared" si="0"/>
        <v>13</v>
      </c>
      <c r="V15" s="10">
        <f t="shared" si="0"/>
        <v>99</v>
      </c>
      <c r="W15" s="10">
        <f t="shared" si="0"/>
        <v>680</v>
      </c>
      <c r="X15" s="10">
        <f t="shared" si="0"/>
        <v>13</v>
      </c>
      <c r="Y15" s="10">
        <f t="shared" si="0"/>
        <v>111</v>
      </c>
      <c r="Z15" s="10">
        <f t="shared" si="0"/>
        <v>13</v>
      </c>
      <c r="AA15" s="10">
        <f t="shared" si="0"/>
        <v>13</v>
      </c>
      <c r="AB15" s="10">
        <f t="shared" si="0"/>
        <v>13</v>
      </c>
      <c r="AC15" s="10">
        <f t="shared" si="0"/>
        <v>13</v>
      </c>
      <c r="AD15" s="10">
        <f t="shared" si="0"/>
        <v>13</v>
      </c>
      <c r="AE15" s="10">
        <f t="shared" si="0"/>
        <v>13</v>
      </c>
      <c r="AF15" s="10">
        <f t="shared" si="0"/>
        <v>136</v>
      </c>
      <c r="AG15" s="10">
        <f t="shared" si="0"/>
        <v>13</v>
      </c>
      <c r="AH15" s="10">
        <f t="shared" si="0"/>
        <v>68</v>
      </c>
      <c r="AI15" s="10">
        <f t="shared" si="0"/>
        <v>13</v>
      </c>
      <c r="AJ15" s="10">
        <f t="shared" si="0"/>
        <v>13</v>
      </c>
      <c r="AK15" s="10">
        <f t="shared" si="0"/>
        <v>13</v>
      </c>
      <c r="AL15" s="10">
        <f t="shared" si="0"/>
        <v>13</v>
      </c>
      <c r="AM15" s="10">
        <f t="shared" si="0"/>
        <v>102</v>
      </c>
      <c r="AN15" s="10">
        <f t="shared" si="0"/>
        <v>0</v>
      </c>
      <c r="AO15" s="10">
        <f t="shared" si="0"/>
        <v>0</v>
      </c>
      <c r="AP15" s="10">
        <f t="shared" si="0"/>
        <v>0</v>
      </c>
      <c r="AQ15" s="10">
        <f t="shared" si="0"/>
        <v>0</v>
      </c>
      <c r="AR15" s="10">
        <f t="shared" si="0"/>
        <v>0</v>
      </c>
      <c r="AS15" s="10">
        <f t="shared" si="0"/>
        <v>0</v>
      </c>
      <c r="AT15" s="10">
        <f t="shared" si="0"/>
        <v>0</v>
      </c>
      <c r="AU15" s="10">
        <f t="shared" si="0"/>
        <v>0</v>
      </c>
      <c r="AV15" s="10">
        <f t="shared" si="0"/>
        <v>0</v>
      </c>
      <c r="AW15" s="10">
        <f t="shared" si="0"/>
        <v>0</v>
      </c>
      <c r="AX15" s="10">
        <f t="shared" si="0"/>
        <v>0</v>
      </c>
      <c r="AY15" s="10">
        <f t="shared" si="0"/>
        <v>0</v>
      </c>
      <c r="AZ15" s="10">
        <f t="shared" si="0"/>
        <v>0</v>
      </c>
      <c r="BA15" s="10">
        <f t="shared" si="0"/>
        <v>0</v>
      </c>
      <c r="BB15" s="10">
        <f t="shared" si="0"/>
        <v>0</v>
      </c>
      <c r="BC15" s="10">
        <f t="shared" si="0"/>
        <v>0</v>
      </c>
      <c r="BD15" s="10">
        <f t="shared" si="0"/>
        <v>0</v>
      </c>
      <c r="BE15" s="10">
        <f t="shared" si="0"/>
        <v>0</v>
      </c>
      <c r="BF15" s="10">
        <f t="shared" si="0"/>
        <v>0</v>
      </c>
      <c r="BG15" s="10">
        <f t="shared" si="0"/>
        <v>0</v>
      </c>
      <c r="BH15" s="10">
        <f t="shared" si="0"/>
        <v>0</v>
      </c>
      <c r="BI15" s="10">
        <f t="shared" si="0"/>
        <v>0</v>
      </c>
      <c r="BJ15" s="10">
        <f t="shared" si="0"/>
        <v>0</v>
      </c>
      <c r="BK15" s="10">
        <f t="shared" si="0"/>
        <v>0</v>
      </c>
      <c r="BL15" s="10">
        <f t="shared" si="0"/>
        <v>0</v>
      </c>
      <c r="BM15" s="10">
        <f t="shared" si="0"/>
        <v>0</v>
      </c>
      <c r="BN15" s="10">
        <f t="shared" si="0"/>
        <v>0</v>
      </c>
      <c r="BO15" s="10">
        <f t="shared" si="0"/>
        <v>0</v>
      </c>
      <c r="BP15" s="10">
        <f t="shared" si="0"/>
        <v>0</v>
      </c>
    </row>
    <row r="16" spans="1:68">
      <c r="A16" s="9" t="s">
        <v>223</v>
      </c>
      <c r="B16" s="6"/>
      <c r="C16" s="6">
        <v>37131</v>
      </c>
      <c r="D16" s="11">
        <v>185</v>
      </c>
      <c r="E16" s="12">
        <v>55</v>
      </c>
      <c r="F16" s="12">
        <v>45</v>
      </c>
      <c r="G16" s="13">
        <v>21</v>
      </c>
      <c r="H16" s="13">
        <v>206</v>
      </c>
      <c r="I16" s="13">
        <v>50</v>
      </c>
      <c r="J16" s="13">
        <v>96</v>
      </c>
      <c r="K16" s="13">
        <v>2497</v>
      </c>
      <c r="L16" s="13">
        <v>2</v>
      </c>
      <c r="M16" s="14">
        <v>0</v>
      </c>
      <c r="N16" s="13">
        <v>182</v>
      </c>
      <c r="O16" s="13">
        <v>187</v>
      </c>
      <c r="P16" s="13">
        <v>180</v>
      </c>
      <c r="Q16" s="13">
        <v>24</v>
      </c>
      <c r="R16" s="13">
        <v>2</v>
      </c>
      <c r="S16" s="13">
        <v>1023</v>
      </c>
      <c r="T16" s="13">
        <v>62</v>
      </c>
      <c r="U16" s="13">
        <v>27</v>
      </c>
      <c r="V16" s="14">
        <v>307</v>
      </c>
      <c r="W16" s="14">
        <v>5470</v>
      </c>
      <c r="X16" s="14">
        <v>1</v>
      </c>
      <c r="Y16" s="13">
        <v>289</v>
      </c>
      <c r="Z16" s="13">
        <v>1</v>
      </c>
      <c r="AA16" s="13">
        <v>41</v>
      </c>
      <c r="AB16" s="14">
        <v>46</v>
      </c>
      <c r="AC16" s="14">
        <v>44</v>
      </c>
      <c r="AD16" s="13">
        <v>27</v>
      </c>
      <c r="AE16" s="13">
        <v>24</v>
      </c>
      <c r="AF16" s="14">
        <v>694</v>
      </c>
      <c r="AG16" s="13">
        <v>44</v>
      </c>
      <c r="AH16" s="13">
        <v>426</v>
      </c>
      <c r="AI16" s="13">
        <v>37</v>
      </c>
      <c r="AJ16" s="13">
        <v>24</v>
      </c>
      <c r="AK16" s="13">
        <v>46</v>
      </c>
      <c r="AL16" s="13">
        <v>41</v>
      </c>
      <c r="AM16" s="13">
        <v>20</v>
      </c>
      <c r="AN16" s="13">
        <v>11</v>
      </c>
      <c r="AO16" s="14">
        <v>36</v>
      </c>
      <c r="AP16" s="14">
        <v>43</v>
      </c>
      <c r="AQ16" s="14">
        <v>0</v>
      </c>
      <c r="AR16" s="14">
        <v>24</v>
      </c>
      <c r="AS16" s="14">
        <v>29</v>
      </c>
      <c r="AT16" s="14">
        <v>19</v>
      </c>
      <c r="AU16" s="13">
        <v>14</v>
      </c>
      <c r="AV16" s="13">
        <v>49</v>
      </c>
      <c r="AW16" s="14">
        <v>2</v>
      </c>
      <c r="AX16" s="13">
        <v>14</v>
      </c>
      <c r="AY16" s="13">
        <v>4</v>
      </c>
      <c r="AZ16" s="13">
        <v>6</v>
      </c>
      <c r="BA16" s="13">
        <v>14</v>
      </c>
      <c r="BB16" s="13">
        <v>6</v>
      </c>
      <c r="BC16" s="14">
        <v>148</v>
      </c>
      <c r="BD16" s="14">
        <v>45</v>
      </c>
      <c r="BE16" s="13">
        <v>27</v>
      </c>
      <c r="BF16" s="13">
        <v>11</v>
      </c>
      <c r="BG16" s="14">
        <v>52</v>
      </c>
      <c r="BH16" s="14">
        <v>35</v>
      </c>
      <c r="BI16" s="14">
        <v>83</v>
      </c>
      <c r="BJ16" s="14">
        <v>89</v>
      </c>
      <c r="BK16" s="13">
        <v>80</v>
      </c>
      <c r="BL16" s="13">
        <v>49</v>
      </c>
      <c r="BM16" s="13">
        <v>93</v>
      </c>
      <c r="BN16" s="14">
        <v>28</v>
      </c>
      <c r="BO16" s="14">
        <v>18</v>
      </c>
      <c r="BP16" s="14">
        <v>11</v>
      </c>
    </row>
  </sheetData>
  <conditionalFormatting sqref="AN1:BP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Current Stock</vt:lpstr>
      <vt:lpstr>Distributed</vt:lpstr>
      <vt:lpstr>Delivery Notes</vt:lpstr>
      <vt:lpstr>Central Cluster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2026-05-05T09:56:00Z</dcterms:created>
  <dcterms:modified xsi:type="dcterms:W3CDTF">2026-06-09T12:45:13Z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2216F4367CEC476F8870324133DF849F_13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